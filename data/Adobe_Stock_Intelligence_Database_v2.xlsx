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dustry Database" sheetId="2" state="visible" r:id="rId4"/>
    <sheet name="Niche Database" sheetId="3" state="visible" r:id="rId5"/>
    <sheet name="Competitor Research" sheetId="4" state="visible" r:id="rId6"/>
    <sheet name="Buyer Database" sheetId="5" state="visible" r:id="rId7"/>
    <sheet name="Prompt Library" sheetId="6" state="visible" r:id="rId8"/>
    <sheet name="Portfolio Tracker" sheetId="7" state="visible" r:id="rId9"/>
    <sheet name="Keyword Database" sheetId="8" state="visible" r:id="rId10"/>
    <sheet name="Research Queue" sheetId="9" state="visible" r:id="rId11"/>
    <sheet name="Trend Tracker" sheetId="10" state="visible" r:id="rId12"/>
    <sheet name="Settings" sheetId="11" state="visible" r:id="rId13"/>
    <sheet name="READM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<sst xmlns="http://schemas.openxmlformats.org/spreadsheetml/2006/main" count="702" uniqueCount="383">
  <si>
    <t xml:space="preserve">Adobe Stock Intelligence Dashboard v2</t>
  </si>
  <si>
    <t xml:space="preserve">KPI</t>
  </si>
  <si>
    <t xml:space="preserve">Value</t>
  </si>
  <si>
    <t xml:space="preserve">Industry</t>
  </si>
  <si>
    <t xml:space="preserve">Target Niches</t>
  </si>
  <si>
    <t xml:space="preserve">Researched</t>
  </si>
  <si>
    <t xml:space="preserve">Avg Score</t>
  </si>
  <si>
    <t xml:space="preserve">Status</t>
  </si>
  <si>
    <t xml:space="preserve">Total Niches</t>
  </si>
  <si>
    <t xml:space="preserve">Healthcare</t>
  </si>
  <si>
    <t xml:space="preserve">Researched Niches</t>
  </si>
  <si>
    <t xml:space="preserve">FMCG &amp; Packaging</t>
  </si>
  <si>
    <t xml:space="preserve">High Priority Niches</t>
  </si>
  <si>
    <t xml:space="preserve">Pet</t>
  </si>
  <si>
    <t xml:space="preserve">Avg Opportunity Score</t>
  </si>
  <si>
    <t xml:space="preserve">Manufacturing</t>
  </si>
  <si>
    <t xml:space="preserve">Images Uploaded</t>
  </si>
  <si>
    <t xml:space="preserve">Retail</t>
  </si>
  <si>
    <t xml:space="preserve">Downloads</t>
  </si>
  <si>
    <t xml:space="preserve">Technology</t>
  </si>
  <si>
    <t xml:space="preserve">Revenue</t>
  </si>
  <si>
    <t xml:space="preserve">Construction</t>
  </si>
  <si>
    <t xml:space="preserve">Best Niche</t>
  </si>
  <si>
    <t xml:space="preserve">Education</t>
  </si>
  <si>
    <t xml:space="preserve">Worst Niche</t>
  </si>
  <si>
    <t xml:space="preserve">Finance</t>
  </si>
  <si>
    <t xml:space="preserve">Hospitality</t>
  </si>
  <si>
    <t xml:space="preserve">Top Opportunity Niches</t>
  </si>
  <si>
    <t xml:space="preserve">Buyer</t>
  </si>
  <si>
    <t xml:space="preserve">Score</t>
  </si>
  <si>
    <t xml:space="preserve">Priority</t>
  </si>
  <si>
    <t xml:space="preserve">Top Niche</t>
  </si>
  <si>
    <t xml:space="preserve">Notes</t>
  </si>
  <si>
    <t xml:space="preserve">High</t>
  </si>
  <si>
    <t xml:space="preserve">Research</t>
  </si>
  <si>
    <t xml:space="preserve">Medium</t>
  </si>
  <si>
    <t xml:space="preserve">Logistics</t>
  </si>
  <si>
    <t xml:space="preserve">Energy</t>
  </si>
  <si>
    <t xml:space="preserve">Food Advertising</t>
  </si>
  <si>
    <t xml:space="preserve">Office &amp; Corporate</t>
  </si>
  <si>
    <t xml:space="preserve">Beauty</t>
  </si>
  <si>
    <t xml:space="preserve">Niche</t>
  </si>
  <si>
    <t xml:space="preserve">Buyer Persona</t>
  </si>
  <si>
    <t xml:space="preserve">Job To Be Done</t>
  </si>
  <si>
    <t xml:space="preserve">Adobe Results</t>
  </si>
  <si>
    <t xml:space="preserve">Shutterstock Results</t>
  </si>
  <si>
    <t xml:space="preserve">Demand (1-10)</t>
  </si>
  <si>
    <t xml:space="preserve">Competition (1-10)</t>
  </si>
  <si>
    <t xml:space="preserve">Commercial Value (1-10)</t>
  </si>
  <si>
    <t xml:space="preserve">Evergreen (1-10)</t>
  </si>
  <si>
    <t xml:space="preserve">Repeat Use (1-10)</t>
  </si>
  <si>
    <t xml:space="preserve">AI Saturation (1-10)</t>
  </si>
  <si>
    <t xml:space="preserve">Opportunity Score</t>
  </si>
  <si>
    <t xml:space="preserve">Next Action</t>
  </si>
  <si>
    <t xml:space="preserve">Source URL</t>
  </si>
  <si>
    <t xml:space="preserve">Empty pharmacy shelf</t>
  </si>
  <si>
    <t xml:space="preserve">Healthcare marketer</t>
  </si>
  <si>
    <t xml:space="preserve">Website hero, supplement ad, pharmacy banner</t>
  </si>
  <si>
    <t xml:space="preserve">Check top 100 thumbnails</t>
  </si>
  <si>
    <t xml:space="preserve">https://stock.adobe.com/</t>
  </si>
  <si>
    <t xml:space="preserve">Low supply vs strong commercial use</t>
  </si>
  <si>
    <t xml:space="preserve">Pet food packaging display</t>
  </si>
  <si>
    <t xml:space="preserve">Pet brand owner</t>
  </si>
  <si>
    <t xml:space="preserve">Packaging mockup, social ad, ecommerce banner</t>
  </si>
  <si>
    <t xml:space="preserve">Create 10 prompt tests</t>
  </si>
  <si>
    <t xml:space="preserve">Strong fit with user's pet brand interest</t>
  </si>
  <si>
    <t xml:space="preserve">Frozen food freezer display</t>
  </si>
  <si>
    <t xml:space="preserve">FMCG brand manager</t>
  </si>
  <si>
    <t xml:space="preserve">Retail mockup, sales deck, ecommerce banner</t>
  </si>
  <si>
    <t xml:space="preserve">Audit competitor style</t>
  </si>
  <si>
    <t xml:space="preserve">Useful and less AI saturated</t>
  </si>
  <si>
    <t xml:space="preserve">Luxury product podium</t>
  </si>
  <si>
    <t xml:space="preserve">Beauty marketer</t>
  </si>
  <si>
    <t xml:space="preserve">Generic product background</t>
  </si>
  <si>
    <t xml:space="preserve">Avoid</t>
  </si>
  <si>
    <t xml:space="preserve">Stop producing</t>
  </si>
  <si>
    <t xml:space="preserve">Oversupplied red ocean</t>
  </si>
  <si>
    <t xml:space="preserve">Clean industrial workbench</t>
  </si>
  <si>
    <t xml:space="preserve">B2B manufacturer</t>
  </si>
  <si>
    <t xml:space="preserve">Website hero, brochure, capability deck</t>
  </si>
  <si>
    <t xml:space="preserve">Collect references</t>
  </si>
  <si>
    <t xml:space="preserve">B2B evergreen opportunity</t>
  </si>
  <si>
    <t xml:space="preserve">Retail end-cap display</t>
  </si>
  <si>
    <t xml:space="preserve">Retail merchandising marketer</t>
  </si>
  <si>
    <t xml:space="preserve">Planogram deck, trade marketing sheet, sales presentation</t>
  </si>
  <si>
    <t xml:space="preserve">Adobe: 'gondola end cap' = 176 results (verified). Shutterstock: 'retail end cap' = 188 results (verified). Extremely low supply on both platforms; already flagged in Keyword Database. Niche buyer base (retail merchandisers) vs Healthcare/Pet, so Demand rated moderate not high.</t>
  </si>
  <si>
    <t xml:space="preserve">Empty server room</t>
  </si>
  <si>
    <t xml:space="preserve">SaaS / IT marketer</t>
  </si>
  <si>
    <t xml:space="preserve">Website hero, cloud hosting ad, annual report imagery</t>
  </si>
  <si>
    <t xml:space="preserve">Audit top 50 thumbnails for AI mix before producing</t>
  </si>
  <si>
    <t xml:space="preserve">Adobe: 'server room empty' = 26,525 results (verified). Shutterstock figure is an ESTIMATE (~90k, extrapolated from 'network server room' 60,759 and 'empty computer room' 111,978) - verify manually before relying on it. Category already has meaningful AI-generated 'futuristic server' supply, so Competition/AI Saturation rated mid not low.</t>
  </si>
  <si>
    <t xml:space="preserve">Construction site office trailer</t>
  </si>
  <si>
    <t xml:space="preserve">Construction company marketer</t>
  </si>
  <si>
    <t xml:space="preserve">Website hero, capability brochure, project mgmt software ad</t>
  </si>
  <si>
    <t xml:space="preserve">Collect references, create 10 prompt tests</t>
  </si>
  <si>
    <t xml:space="preserve">Adobe: 'construction office trailer' = 2,655 results (verified, low supply). Shutterstock figure is an ESTIMATE - verify manually. Note: generic Construction angles tried first (blueprints, safety/PPE gear, site signage) are all oversupplied in the millions - this specific angle is the exception, not the rule for this industry.</t>
  </si>
  <si>
    <t xml:space="preserve">Bank teller window</t>
  </si>
  <si>
    <t xml:space="preserve">Banking / fintech marketer</t>
  </si>
  <si>
    <t xml:space="preserve">Website hero, financial literacy content, banking app ad</t>
  </si>
  <si>
    <t xml:space="preserve">Audit competitor style, create 10 prompt tests</t>
  </si>
  <si>
    <t xml:space="preserve">Adobe: 'bank teller window' = 4,436 results (verified, low-moderate supply). Shutterstock figure is an ESTIMATE - verify manually. Strongest opportunity identified in this research round.</t>
  </si>
  <si>
    <t xml:space="preserve">Warehouse loading dock interior</t>
  </si>
  <si>
    <t xml:space="preserve">Logistics / 3PL marketer</t>
  </si>
  <si>
    <t xml:space="preserve">Website hero, freight brokerage sales deck, capability brochure</t>
  </si>
  <si>
    <t xml:space="preserve">Adobe: 'warehouse loading dock interior' = 8,231 results (verified). Shutterstock figure is an ESTIMATE - verify manually.</t>
  </si>
  <si>
    <t xml:space="preserve">Date</t>
  </si>
  <si>
    <t xml:space="preserve">Keyword</t>
  </si>
  <si>
    <t xml:space="preserve">Platform</t>
  </si>
  <si>
    <t xml:space="preserve">Result Count</t>
  </si>
  <si>
    <t xml:space="preserve">Top Style</t>
  </si>
  <si>
    <t xml:space="preserve">AI %</t>
  </si>
  <si>
    <t xml:space="preserve">Photo %</t>
  </si>
  <si>
    <t xml:space="preserve">3D %</t>
  </si>
  <si>
    <t xml:space="preserve">Top Color/Composition</t>
  </si>
  <si>
    <t xml:space="preserve">Gap Observed</t>
  </si>
  <si>
    <t xml:space="preserve">pharmacy shelf</t>
  </si>
  <si>
    <t xml:space="preserve">Adobe Stock</t>
  </si>
  <si>
    <t xml:space="preserve">photo/3D mixed</t>
  </si>
  <si>
    <t xml:space="preserve">white clinical shelves</t>
  </si>
  <si>
    <t xml:space="preserve">few clean empty mockup-ready shelves</t>
  </si>
  <si>
    <t xml:space="preserve">validate exact count manually</t>
  </si>
  <si>
    <t xml:space="preserve">product podium</t>
  </si>
  <si>
    <t xml:space="preserve">3D/AI</t>
  </si>
  <si>
    <t xml:space="preserve">marble, beige, pastel</t>
  </si>
  <si>
    <t xml:space="preserve">oversupplied</t>
  </si>
  <si>
    <t xml:space="preserve">avoid generic podium</t>
  </si>
  <si>
    <t xml:space="preserve">pet food packaging</t>
  </si>
  <si>
    <t xml:space="preserve">photo/3D</t>
  </si>
  <si>
    <t xml:space="preserve">retail shelf, pet aisle</t>
  </si>
  <si>
    <t xml:space="preserve">few premium mockup scenes</t>
  </si>
  <si>
    <t xml:space="preserve">high potential</t>
  </si>
  <si>
    <t xml:space="preserve">frozen food freezer</t>
  </si>
  <si>
    <t xml:space="preserve">photo</t>
  </si>
  <si>
    <t xml:space="preserve">cold blue retail</t>
  </si>
  <si>
    <t xml:space="preserve">few empty display layouts</t>
  </si>
  <si>
    <t xml:space="preserve">good for FMCG</t>
  </si>
  <si>
    <t xml:space="preserve">gondola end cap / retail end cap</t>
  </si>
  <si>
    <t xml:space="preserve">Adobe Stock + Shutterstock</t>
  </si>
  <si>
    <t xml:space="preserve">Almost no clean retail end-cap mockups on either platform</t>
  </si>
  <si>
    <t xml:space="preserve">Counts verified via live search. Style/AI-Photo-3D mix not assessed this round (would need manual thumbnail review).</t>
  </si>
  <si>
    <t xml:space="preserve">server room empty</t>
  </si>
  <si>
    <t xml:space="preserve">Category already has meaningful AI-generated 'futuristic server' supply</t>
  </si>
  <si>
    <t xml:space="preserve">Adobe count verified. Shutterstock count estimated, not verified. Style mix not assessed this round.</t>
  </si>
  <si>
    <t xml:space="preserve">construction office trailer</t>
  </si>
  <si>
    <t xml:space="preserve">Generic construction angles (blueprints, PPE, signage) are all oversupplied; this specific angle is not</t>
  </si>
  <si>
    <t xml:space="preserve">bank teller window</t>
  </si>
  <si>
    <t xml:space="preserve">Low-moderate supply for a high commercial-value B2B/fintech use case</t>
  </si>
  <si>
    <t xml:space="preserve">warehouse loading dock interior</t>
  </si>
  <si>
    <t xml:space="preserve">Moderate supply, useful for logistics/3PL B2B marketing</t>
  </si>
  <si>
    <t xml:space="preserve">Image Needed</t>
  </si>
  <si>
    <t xml:space="preserve">Typical Use Case</t>
  </si>
  <si>
    <t xml:space="preserve">Pain Point</t>
  </si>
  <si>
    <t xml:space="preserve">Stock Asset Direction</t>
  </si>
  <si>
    <t xml:space="preserve">Packaging Designer</t>
  </si>
  <si>
    <t xml:space="preserve">Present packaging mockup</t>
  </si>
  <si>
    <t xml:space="preserve">Retail shelf, freezer, pouch display</t>
  </si>
  <si>
    <t xml:space="preserve">Client presentation, Behance, sales deck</t>
  </si>
  <si>
    <t xml:space="preserve">Needs realistic context without brand conflict</t>
  </si>
  <si>
    <t xml:space="preserve">Empty packaging-ready environments</t>
  </si>
  <si>
    <t xml:space="preserve">Healthcare Marketer</t>
  </si>
  <si>
    <t xml:space="preserve">Create trusted medical website/banner</t>
  </si>
  <si>
    <t xml:space="preserve">Clinic, pharmacy, medical storage</t>
  </si>
  <si>
    <t xml:space="preserve">Website hero, service page, ad banner</t>
  </si>
  <si>
    <t xml:space="preserve">Generic medical images feel fake</t>
  </si>
  <si>
    <t xml:space="preserve">Clean clinical spaces without people</t>
  </si>
  <si>
    <t xml:space="preserve">Pet Brand Owner</t>
  </si>
  <si>
    <t xml:space="preserve">Promote pet product online</t>
  </si>
  <si>
    <t xml:space="preserve">Pet retail shelf, feeding corner</t>
  </si>
  <si>
    <t xml:space="preserve">IG, website, ecommerce</t>
  </si>
  <si>
    <t xml:space="preserve">Most pet photos are too lifestyle-heavy</t>
  </si>
  <si>
    <t xml:space="preserve">Premium pet product marketing scenes</t>
  </si>
  <si>
    <t xml:space="preserve">B2B Manufacturer</t>
  </si>
  <si>
    <t xml:space="preserve">Show capability and reliability</t>
  </si>
  <si>
    <t xml:space="preserve">Clean factory, workbench, warehouse</t>
  </si>
  <si>
    <t xml:space="preserve">Website, brochure, trade show deck</t>
  </si>
  <si>
    <t xml:space="preserve">Hard to find clean industrial visuals</t>
  </si>
  <si>
    <t xml:space="preserve">Modern empty work environments</t>
  </si>
  <si>
    <t xml:space="preserve">Retail Merchandising Marketer</t>
  </si>
  <si>
    <t xml:space="preserve">Present in-store promotional placement</t>
  </si>
  <si>
    <t xml:space="preserve">Clean end-cap / gondola display, empty shelf</t>
  </si>
  <si>
    <t xml:space="preserve">Planogram deck, trade marketing sheet</t>
  </si>
  <si>
    <t xml:space="preserve">Hard to find a clean end-cap shot without competitor branding</t>
  </si>
  <si>
    <t xml:space="preserve">Empty retail fixture mockups</t>
  </si>
  <si>
    <t xml:space="preserve">SaaS / IT Marketer</t>
  </si>
  <si>
    <t xml:space="preserve">Convey reliability and modern infrastructure</t>
  </si>
  <si>
    <t xml:space="preserve">Clean server room, data center, cloud visual</t>
  </si>
  <si>
    <t xml:space="preserve">Website hero, hosting ad, annual report</t>
  </si>
  <si>
    <t xml:space="preserve">Most server room photos look dated or overly sci-fi/AI</t>
  </si>
  <si>
    <t xml:space="preserve">Modern, realistic clean data center scenes</t>
  </si>
  <si>
    <t xml:space="preserve">Construction Company Marketer</t>
  </si>
  <si>
    <t xml:space="preserve">Show project management and professionalism</t>
  </si>
  <si>
    <t xml:space="preserve">Job site office, trailer, project planning scene</t>
  </si>
  <si>
    <t xml:space="preserve">Website hero, brochure, software ad</t>
  </si>
  <si>
    <t xml:space="preserve">Most construction photos are generic workers/blueprints, oversupplied</t>
  </si>
  <si>
    <t xml:space="preserve">Specific project-management moments, not generic site shots</t>
  </si>
  <si>
    <t xml:space="preserve">Banking / Fintech Marketer</t>
  </si>
  <si>
    <t xml:space="preserve">Build trust in a financial product or service</t>
  </si>
  <si>
    <t xml:space="preserve">Bank counter, teller window, clean financial setting</t>
  </si>
  <si>
    <t xml:space="preserve">Website hero, app ad, literacy content</t>
  </si>
  <si>
    <t xml:space="preserve">Stock banking images often feel staged or outdated</t>
  </si>
  <si>
    <t xml:space="preserve">Modern, authentic-feeling banking scenes</t>
  </si>
  <si>
    <t xml:space="preserve">Prompt ID</t>
  </si>
  <si>
    <t xml:space="preserve">Prompt Version</t>
  </si>
  <si>
    <t xml:space="preserve">Aspect Ratio</t>
  </si>
  <si>
    <t xml:space="preserve">Prompt</t>
  </si>
  <si>
    <t xml:space="preserve">Negative Rules</t>
  </si>
  <si>
    <t xml:space="preserve">Test Result</t>
  </si>
  <si>
    <t xml:space="preserve">P001</t>
  </si>
  <si>
    <t xml:space="preserve">v1</t>
  </si>
  <si>
    <t xml:space="preserve">16:9</t>
  </si>
  <si>
    <t xml:space="preserve">Ultra realistic empty pharmacy shelf environment, clean medical retail display, large copy space, no products, no logos, no text, professional healthcare marketing background</t>
  </si>
  <si>
    <t xml:space="preserve">no people, no logos, no text, no brand names</t>
  </si>
  <si>
    <t xml:space="preserve">Draft</t>
  </si>
  <si>
    <t xml:space="preserve">P002</t>
  </si>
  <si>
    <t xml:space="preserve">4:5</t>
  </si>
  <si>
    <t xml:space="preserve">Ultra realistic premium pet food retail display with empty packaging placement area, warm clean shelf, modern pet store background, commercial mockup-ready scene</t>
  </si>
  <si>
    <t xml:space="preserve">no animals, no logos, no text, no products</t>
  </si>
  <si>
    <t xml:space="preserve">P003</t>
  </si>
  <si>
    <t xml:space="preserve">Ultra realistic empty frozen food freezer display, clean supermarket environment, cold premium lighting, blank display zones for packaging mockup, commercial FMCG scene</t>
  </si>
  <si>
    <t xml:space="preserve">no logos, no text, no products, no people</t>
  </si>
  <si>
    <t xml:space="preserve">Image ID</t>
  </si>
  <si>
    <t xml:space="preserve">Upload Date</t>
  </si>
  <si>
    <t xml:space="preserve">Approval</t>
  </si>
  <si>
    <t xml:space="preserve">Title</t>
  </si>
  <si>
    <t xml:space="preserve">Keywords</t>
  </si>
  <si>
    <t xml:space="preserve">IMG001</t>
  </si>
  <si>
    <t xml:space="preserve">Approved</t>
  </si>
  <si>
    <t xml:space="preserve">Minimal product podium</t>
  </si>
  <si>
    <t xml:space="preserve">podium,product,background</t>
  </si>
  <si>
    <t xml:space="preserve">Approved but no downloads</t>
  </si>
  <si>
    <t xml:space="preserve">IMG002</t>
  </si>
  <si>
    <t xml:space="preserve">Cosmetic display</t>
  </si>
  <si>
    <t xml:space="preserve">Cosmetic product display</t>
  </si>
  <si>
    <t xml:space="preserve">beauty,cosmetic,podium</t>
  </si>
  <si>
    <t xml:space="preserve">High competition niche</t>
  </si>
  <si>
    <t xml:space="preserve">IMG003</t>
  </si>
  <si>
    <t xml:space="preserve">Premium product background</t>
  </si>
  <si>
    <t xml:space="preserve">luxury,background,marketing</t>
  </si>
  <si>
    <t xml:space="preserve">Generic searchability</t>
  </si>
  <si>
    <t xml:space="preserve">Parent Niche</t>
  </si>
  <si>
    <t xml:space="preserve">Intent</t>
  </si>
  <si>
    <t xml:space="preserve">Synonyms</t>
  </si>
  <si>
    <t xml:space="preserve">Commercial Value</t>
  </si>
  <si>
    <t xml:space="preserve">Search Notes</t>
  </si>
  <si>
    <t xml:space="preserve">healthcare marketing</t>
  </si>
  <si>
    <t xml:space="preserve">medicine shelf, drugstore shelf, medical retail</t>
  </si>
  <si>
    <t xml:space="preserve">Specific and lower supply</t>
  </si>
  <si>
    <t xml:space="preserve">packaging mockup</t>
  </si>
  <si>
    <t xml:space="preserve">dog food bag, pet retail, pet shelf</t>
  </si>
  <si>
    <t xml:space="preserve">Good buyer fit</t>
  </si>
  <si>
    <t xml:space="preserve">FMCG retail</t>
  </si>
  <si>
    <t xml:space="preserve">supermarket freezer, frozen display</t>
  </si>
  <si>
    <t xml:space="preserve">Useful for retail presentation</t>
  </si>
  <si>
    <t xml:space="preserve">industrial workbench</t>
  </si>
  <si>
    <t xml:space="preserve">B2B marketing</t>
  </si>
  <si>
    <t xml:space="preserve">factory bench, manufacturing desk</t>
  </si>
  <si>
    <t xml:space="preserve">B2B evergreen</t>
  </si>
  <si>
    <t xml:space="preserve">generic product display</t>
  </si>
  <si>
    <t xml:space="preserve">marble podium, cosmetic podium</t>
  </si>
  <si>
    <t xml:space="preserve">Very high supply</t>
  </si>
  <si>
    <t xml:space="preserve">medical storage</t>
  </si>
  <si>
    <t xml:space="preserve">Medical storage</t>
  </si>
  <si>
    <t xml:space="preserve">healthcare operation</t>
  </si>
  <si>
    <t xml:space="preserve">hospital storage, medicine cabinet</t>
  </si>
  <si>
    <t xml:space="preserve">Evergreen medical B2B</t>
  </si>
  <si>
    <t xml:space="preserve">IT/SaaS marketing</t>
  </si>
  <si>
    <t xml:space="preserve">data center, server rack, cloud infrastructure</t>
  </si>
  <si>
    <t xml:space="preserve">Moderate supply, some AI-generated variants</t>
  </si>
  <si>
    <t xml:space="preserve">B2B construction marketing</t>
  </si>
  <si>
    <t xml:space="preserve">job site trailer, site office, portable office</t>
  </si>
  <si>
    <t xml:space="preserve">Low supply, good B2B fit</t>
  </si>
  <si>
    <t xml:space="preserve">banking/fintech marketing</t>
  </si>
  <si>
    <t xml:space="preserve">bank counter, teller booth, bank window</t>
  </si>
  <si>
    <t xml:space="preserve">Low-moderate supply, strong commercial fit</t>
  </si>
  <si>
    <t xml:space="preserve">logistics marketing</t>
  </si>
  <si>
    <t xml:space="preserve">shipping dock, freight dock, distribution center dock</t>
  </si>
  <si>
    <t xml:space="preserve">Moderate supply, useful for logistics brands</t>
  </si>
  <si>
    <t xml:space="preserve">Queue ID</t>
  </si>
  <si>
    <t xml:space="preserve">Research Status</t>
  </si>
  <si>
    <t xml:space="preserve">Assigned To</t>
  </si>
  <si>
    <t xml:space="preserve">Next Step</t>
  </si>
  <si>
    <t xml:space="preserve">Q001</t>
  </si>
  <si>
    <t xml:space="preserve">empty pharmacy shelf</t>
  </si>
  <si>
    <t xml:space="preserve">To Research</t>
  </si>
  <si>
    <t xml:space="preserve">Praew</t>
  </si>
  <si>
    <t xml:space="preserve">Record Adobe and Shutterstock results</t>
  </si>
  <si>
    <t xml:space="preserve">Q002</t>
  </si>
  <si>
    <t xml:space="preserve">pet food packaging display</t>
  </si>
  <si>
    <t xml:space="preserve">Audit top 100 thumbnails</t>
  </si>
  <si>
    <t xml:space="preserve">Q003</t>
  </si>
  <si>
    <t xml:space="preserve">frozen food freezer display</t>
  </si>
  <si>
    <t xml:space="preserve">Find visual gaps</t>
  </si>
  <si>
    <t xml:space="preserve">Q004</t>
  </si>
  <si>
    <t xml:space="preserve">Compare photo vs AI supply</t>
  </si>
  <si>
    <t xml:space="preserve">Q005</t>
  </si>
  <si>
    <t xml:space="preserve">retail end cap display</t>
  </si>
  <si>
    <t xml:space="preserve">Done</t>
  </si>
  <si>
    <t xml:space="preserve">Check mockup potential</t>
  </si>
  <si>
    <t xml:space="preserve">Researched this round - added to Niche Database, score ~74</t>
  </si>
  <si>
    <t xml:space="preserve">Q006</t>
  </si>
  <si>
    <t xml:space="preserve">Verify Shutterstock count manually</t>
  </si>
  <si>
    <t xml:space="preserve">Researched this round - added to Niche Database, score ~66 (Watch)</t>
  </si>
  <si>
    <t xml:space="preserve">Q007</t>
  </si>
  <si>
    <t xml:space="preserve">Q008</t>
  </si>
  <si>
    <t xml:space="preserve">Researched this round - added to Niche Database, score ~76 (best of this batch)</t>
  </si>
  <si>
    <t xml:space="preserve">Q009</t>
  </si>
  <si>
    <t xml:space="preserve">Researched this round - added to Niche Database, score ~71</t>
  </si>
  <si>
    <t xml:space="preserve">Q010</t>
  </si>
  <si>
    <t xml:space="preserve">(needs a more specific angle - generic classroom/online-course terms are oversaturated)</t>
  </si>
  <si>
    <t xml:space="preserve">Brainstorm a narrower angle, e.g. specific edtech use case</t>
  </si>
  <si>
    <t xml:space="preserve">Probed 'empty classroom' (315k results) and 'online course flatlay' (saturated) - both red oceans, need sharper angle</t>
  </si>
  <si>
    <t xml:space="preserve">Q011</t>
  </si>
  <si>
    <t xml:space="preserve">(needs a more specific angle - generic hotel front desk/lobby terms are heavily supplied)</t>
  </si>
  <si>
    <t xml:space="preserve">Brainstorm a narrower angle, e.g. specific property type or moment</t>
  </si>
  <si>
    <t xml:space="preserve">Probed 'hotel front desk' (71k results) - oversaturated, need sharper angle</t>
  </si>
  <si>
    <t xml:space="preserve">Q012</t>
  </si>
  <si>
    <t xml:space="preserve">(needs a more specific angle - generic control room terms are heavily supplied)</t>
  </si>
  <si>
    <t xml:space="preserve">Brainstorm a narrower angle, e.g. specific energy sub-sector</t>
  </si>
  <si>
    <t xml:space="preserve">Probed 'power control room' (132k results); 'nuclear power control room' (3.8k) more promising but narrow buyer base</t>
  </si>
  <si>
    <t xml:space="preserve">Q013</t>
  </si>
  <si>
    <t xml:space="preserve">(needs a more specific angle - generic restaurant table/menu mockup terms are heavily supplied)</t>
  </si>
  <si>
    <t xml:space="preserve">Brainstorm a narrower angle</t>
  </si>
  <si>
    <t xml:space="preserve">Probed 'empty restaurant table' (878k) and 'restaurant menu mockup' (245k) - both red oceans</t>
  </si>
  <si>
    <t xml:space="preserve">Q014</t>
  </si>
  <si>
    <t xml:space="preserve">(needs a more specific angle - generic meeting room/office wall terms are heavily supplied)</t>
  </si>
  <si>
    <t xml:space="preserve">Probed 'glass conference room' (178k) and 'blank office wall' (1.3M) - both red oceans</t>
  </si>
  <si>
    <t xml:space="preserve">Q015</t>
  </si>
  <si>
    <t xml:space="preserve">(not yet probed this round)</t>
  </si>
  <si>
    <t xml:space="preserve">Start with a non-podium angle (podium/generic product bg already flagged Avoid)</t>
  </si>
  <si>
    <t xml:space="preserve">Not probed this round - queued for next pass</t>
  </si>
  <si>
    <t xml:space="preserve">Trend</t>
  </si>
  <si>
    <t xml:space="preserve">Signal Source</t>
  </si>
  <si>
    <t xml:space="preserve">Signal Strength (1-10)</t>
  </si>
  <si>
    <t xml:space="preserve">Evergreen Risk</t>
  </si>
  <si>
    <t xml:space="preserve">Related Niches</t>
  </si>
  <si>
    <t xml:space="preserve">Action</t>
  </si>
  <si>
    <t xml:space="preserve">Pet wellness</t>
  </si>
  <si>
    <t xml:space="preserve">Market/category growth</t>
  </si>
  <si>
    <t xml:space="preserve">Low</t>
  </si>
  <si>
    <t xml:space="preserve">pet supplement, pet food packaging, pet feeding corner</t>
  </si>
  <si>
    <t xml:space="preserve">Healthcare retail</t>
  </si>
  <si>
    <t xml:space="preserve">Evergreen demand</t>
  </si>
  <si>
    <t xml:space="preserve">pharmacy shelf, medical storage, wellness clinic</t>
  </si>
  <si>
    <t xml:space="preserve">Sustainable packaging</t>
  </si>
  <si>
    <t xml:space="preserve">Brand marketing trend</t>
  </si>
  <si>
    <t xml:space="preserve">eco packaging, recycled shelf, refill station</t>
  </si>
  <si>
    <t xml:space="preserve">Watch</t>
  </si>
  <si>
    <t xml:space="preserve">AI workplace</t>
  </si>
  <si>
    <t xml:space="preserve">Trend demand</t>
  </si>
  <si>
    <t xml:space="preserve">AI office, automation dashboard, server room</t>
  </si>
  <si>
    <t xml:space="preserve">Selective</t>
  </si>
  <si>
    <t xml:space="preserve">Clean manufacturing</t>
  </si>
  <si>
    <t xml:space="preserve">industrial workbench, warehouse automation, clean factory</t>
  </si>
  <si>
    <t xml:space="preserve">Not Started</t>
  </si>
  <si>
    <t xml:space="preserve">Pending</t>
  </si>
  <si>
    <t xml:space="preserve">Testing</t>
  </si>
  <si>
    <t xml:space="preserve">Rejected</t>
  </si>
  <si>
    <t xml:space="preserve">1:1</t>
  </si>
  <si>
    <t xml:space="preserve">Production</t>
  </si>
  <si>
    <t xml:space="preserve">Need Fix</t>
  </si>
  <si>
    <t xml:space="preserve">Both</t>
  </si>
  <si>
    <t xml:space="preserve">Uploaded</t>
  </si>
  <si>
    <t xml:space="preserve">Paused</t>
  </si>
  <si>
    <t xml:space="preserve">Adobe Stock Intelligence Database v2</t>
  </si>
  <si>
    <t xml:space="preserve">Purpose</t>
  </si>
  <si>
    <t xml:space="preserve">Use this database to research stock-image niches before generating images.</t>
  </si>
  <si>
    <t xml:space="preserve">Main workflow</t>
  </si>
  <si>
    <t xml:space="preserve">Research niche &gt; score opportunity &gt; create prompts &gt; upload &gt; track downloads/revenue.</t>
  </si>
  <si>
    <t xml:space="preserve">Key sheet</t>
  </si>
  <si>
    <t xml:space="preserve">Niche Database</t>
  </si>
  <si>
    <t xml:space="preserve">Calculated from Demand, inverse Competition, Commercial Value, Evergreen, Repeat Use, and inverse AI Saturation.</t>
  </si>
  <si>
    <t xml:space="preserve">Score guide</t>
  </si>
  <si>
    <t xml:space="preserve">80+ = Invest, 60-79 = Watch, below 60 = Avoid.</t>
  </si>
  <si>
    <t xml:space="preserve">Next step</t>
  </si>
  <si>
    <t xml:space="preserve">Fill Adobe Results, Shutterstock Results, and scoring columns for 100 niches.</t>
  </si>
  <si>
    <t xml:space="preserve">Important</t>
  </si>
  <si>
    <t xml:space="preserve">Use source URLs in Source URL columns for every researched row.</t>
  </si>
  <si>
    <t xml:space="preserve">Google Sheets</t>
  </si>
  <si>
    <t xml:space="preserve">Upload this .xlsx to Google Drive, then open with Google Sheets.</t>
  </si>
  <si>
    <t xml:space="preserve">Reminder</t>
  </si>
  <si>
    <t xml:space="preserve">Do not scale image generation until a niche has evidence and a clear buyer.</t>
  </si>
  <si>
    <t xml:space="preserve">Version</t>
  </si>
  <si>
    <t xml:space="preserve">v2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</si>
</sst>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3FAE0"/>
          <bgColor rgb="FF000000"/>
        </patternFill>
      </fill>
    </dxf>
    <dxf>
      <fill>
        <patternFill patternType="solid">
          <fgColor rgb="FFEDF7D7"/>
          <bgColor rgb="FF000000"/>
        </patternFill>
      </fill>
    </dxf>
    <dxf>
      <fill>
        <patternFill patternType="solid">
          <fgColor rgb="FFF8F4CD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CD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EFBE5"/>
          <bgColor rgb="FF000000"/>
        </patternFill>
      </fill>
    </dxf>
    <dxf>
      <fill>
        <patternFill patternType="solid">
          <fgColor rgb="FFE0FBE3"/>
          <bgColor rgb="FF000000"/>
        </patternFill>
      </fill>
    </dxf>
    <dxf>
      <fill>
        <patternFill patternType="solid">
          <fgColor rgb="FFE2FAE1"/>
          <bgColor rgb="FF000000"/>
        </patternFill>
      </fill>
    </dxf>
    <dxf>
      <fill>
        <patternFill patternType="solid">
          <fgColor rgb="FFE5F9DE"/>
          <bgColor rgb="FF000000"/>
        </patternFill>
      </fill>
    </dxf>
    <dxf>
      <fill>
        <patternFill patternType="solid">
          <fgColor rgb="FFE8F8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Industry Opportunity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"Target Niches"</c:f>
              <c:strCache>
                <c:ptCount val="1"/>
                <c:pt idx="0">
                  <c:v>Target Niches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Dashboard!$D$4:$D$13</c:f>
              <c:strCache>
                <c:ptCount val="10"/>
                <c:pt idx="0">
                  <c:v>Healthcare</c:v>
                </c:pt>
                <c:pt idx="1">
                  <c:v>FMCG &amp; Packaging</c:v>
                </c:pt>
                <c:pt idx="2">
                  <c:v>Pet</c:v>
                </c:pt>
                <c:pt idx="3">
                  <c:v>Manufacturing</c:v>
                </c:pt>
                <c:pt idx="4">
                  <c:v>Retail</c:v>
                </c:pt>
                <c:pt idx="5">
                  <c:v>Technology</c:v>
                </c:pt>
                <c:pt idx="6">
                  <c:v>Construction</c:v>
                </c:pt>
                <c:pt idx="7">
                  <c:v>Education</c:v>
                </c:pt>
                <c:pt idx="8">
                  <c:v>Finance</c:v>
                </c:pt>
                <c:pt idx="9">
                  <c:v>Hospitality</c:v>
                </c:pt>
              </c:strCache>
            </c:strRef>
          </c:cat>
          <c:val>
            <c:numRef>
              <c:f>Dashboard!$E$4:$E$13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strRef>
              <c:f>"Researched"</c:f>
              <c:strCache>
                <c:ptCount val="1"/>
                <c:pt idx="0">
                  <c:v>Researched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Dashboard!$D$4:$D$13</c:f>
              <c:strCache>
                <c:ptCount val="10"/>
                <c:pt idx="0">
                  <c:v>Healthcare</c:v>
                </c:pt>
                <c:pt idx="1">
                  <c:v>FMCG &amp; Packaging</c:v>
                </c:pt>
                <c:pt idx="2">
                  <c:v>Pet</c:v>
                </c:pt>
                <c:pt idx="3">
                  <c:v>Manufacturing</c:v>
                </c:pt>
                <c:pt idx="4">
                  <c:v>Retail</c:v>
                </c:pt>
                <c:pt idx="5">
                  <c:v>Technology</c:v>
                </c:pt>
                <c:pt idx="6">
                  <c:v>Construction</c:v>
                </c:pt>
                <c:pt idx="7">
                  <c:v>Education</c:v>
                </c:pt>
                <c:pt idx="8">
                  <c:v>Finance</c:v>
                </c:pt>
                <c:pt idx="9">
                  <c:v>Hospitality</c:v>
                </c:pt>
              </c:strCache>
            </c:strRef>
          </c:cat>
          <c:val>
            <c:numRef>
              <c:f>Dashboard!$F$4:$F$13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"Avg Score"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Dashboard!$D$4:$D$13</c:f>
              <c:strCache>
                <c:ptCount val="10"/>
                <c:pt idx="0">
                  <c:v>Healthcare</c:v>
                </c:pt>
                <c:pt idx="1">
                  <c:v>FMCG &amp; Packaging</c:v>
                </c:pt>
                <c:pt idx="2">
                  <c:v>Pet</c:v>
                </c:pt>
                <c:pt idx="3">
                  <c:v>Manufacturing</c:v>
                </c:pt>
                <c:pt idx="4">
                  <c:v>Retail</c:v>
                </c:pt>
                <c:pt idx="5">
                  <c:v>Technology</c:v>
                </c:pt>
                <c:pt idx="6">
                  <c:v>Construction</c:v>
                </c:pt>
                <c:pt idx="7">
                  <c:v>Education</c:v>
                </c:pt>
                <c:pt idx="8">
                  <c:v>Finance</c:v>
                </c:pt>
                <c:pt idx="9">
                  <c:v>Hospitality</c:v>
                </c:pt>
              </c:strCache>
            </c:strRef>
          </c:cat>
          <c:val>
            <c:numRef>
              <c:f>Dashboard!$G$4:$G$13</c:f>
              <c:numCache>
                <c:formatCode>General</c:formatCode>
                <c:ptCount val="10"/>
                <c:pt idx="0">
                  <c:v>84</c:v>
                </c:pt>
                <c:pt idx="1">
                  <c:v>71</c:v>
                </c:pt>
                <c:pt idx="2">
                  <c:v>82</c:v>
                </c:pt>
                <c:pt idx="3">
                  <c:v>79</c:v>
                </c:pt>
                <c:pt idx="4">
                  <c:v>74</c:v>
                </c:pt>
                <c:pt idx="5">
                  <c:v>66</c:v>
                </c:pt>
                <c:pt idx="6">
                  <c:v>74</c:v>
                </c:pt>
                <c:pt idx="8">
                  <c:v>76</c:v>
                </c:pt>
              </c:numCache>
            </c:numRef>
          </c:val>
        </c:ser>
        <c:gapWidth val="150"/>
        <c:overlap val="0"/>
        <c:axId val="33886311"/>
        <c:axId val="62972713"/>
      </c:barChart>
      <c:catAx>
        <c:axId val="3388631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972713"/>
        <c:crosses val="autoZero"/>
        <c:auto val="1"/>
        <c:lblAlgn val="ctr"/>
        <c:lblOffset val="100"/>
        <c:noMultiLvlLbl val="0"/>
      </c:catAx>
      <c:valAx>
        <c:axId val="6297271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8863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16</xdr:col>
      <xdr:colOff>611280</xdr:colOff>
      <xdr:row>17</xdr:row>
      <xdr:rowOff>20520</xdr:rowOff>
    </xdr:to>
    <xdr:graphicFrame>
      <xdr:nvGraphicFramePr>
        <xdr:cNvPr id="0" name="Chart 1"/>
        <xdr:cNvGraphicFramePr/>
      </xdr:nvGraphicFramePr>
      <xdr:xfrm>
        <a:off x="10964520" y="571680"/>
        <a:ext cx="48916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yerTable" displayName="BuyerTable" ref="A1:H200" headerRowCount="1" totalsRowCount="0" totalsRowShown="0">
  <tableColumns count="8">
    <tableColumn id="1" name="Buyer Persona"/>
    <tableColumn id="2" name="Industry"/>
    <tableColumn id="3" name="Job To Be Done"/>
    <tableColumn id="4" name="Image Needed"/>
    <tableColumn id="5" name="Typical Use Case"/>
    <tableColumn id="6" name="Priority"/>
    <tableColumn id="7" name="Pain Point"/>
    <tableColumn id="8" name="Stock Asset Direction"/>
  </tableColumns>
</table>
</file>

<file path=xl/tables/table2.xml><?xml version="1.0" encoding="utf-8"?>
<table xmlns="http://schemas.openxmlformats.org/spreadsheetml/2006/main" id="2" name="CompetitorTable" displayName="CompetitorTable" ref="A1:L501" headerRowCount="1" totalsRowCount="0" totalsRowShown="0">
  <tableColumns count="12">
    <tableColumn id="1" name="Date"/>
    <tableColumn id="2" name="Keyword"/>
    <tableColumn id="3" name="Platform"/>
    <tableColumn id="4" name="Result Count"/>
    <tableColumn id="5" name="Top Style"/>
    <tableColumn id="6" name="AI %"/>
    <tableColumn id="7" name="Photo %"/>
    <tableColumn id="8" name="3D %"/>
    <tableColumn id="9" name="Top Color/Composition"/>
    <tableColumn id="10" name="Gap Observed"/>
    <tableColumn id="11" name="Source URL"/>
    <tableColumn id="12" name="Notes"/>
  </tableColumns>
</table>
</file>

<file path=xl/tables/table3.xml><?xml version="1.0" encoding="utf-8"?>
<table xmlns="http://schemas.openxmlformats.org/spreadsheetml/2006/main" id="3" name="IndustryTable" displayName="IndustryTable" ref="A1:H100" headerRowCount="1" totalsRowCount="0" totalsRowShown="0">
  <tableColumns count="8">
    <tableColumn id="1" name="Industry"/>
    <tableColumn id="2" name="Priority"/>
    <tableColumn id="3" name="Target Niches"/>
    <tableColumn id="4" name="Researched Niches"/>
    <tableColumn id="5" name="Avg Opportunity Score"/>
    <tableColumn id="6" name="Top Niche"/>
    <tableColumn id="7" name="Status"/>
    <tableColumn id="8" name="Notes"/>
  </tableColumns>
</table>
</file>

<file path=xl/tables/table4.xml><?xml version="1.0" encoding="utf-8"?>
<table xmlns="http://schemas.openxmlformats.org/spreadsheetml/2006/main" id="4" name="KeywordTable" displayName="KeywordTable" ref="A1:G500" headerRowCount="1" totalsRowCount="0" totalsRowShown="0">
  <tableColumns count="7">
    <tableColumn id="1" name="Keyword"/>
    <tableColumn id="2" name="Parent Niche"/>
    <tableColumn id="3" name="Intent"/>
    <tableColumn id="4" name="Synonyms"/>
    <tableColumn id="5" name="Commercial Value"/>
    <tableColumn id="6" name="Search Notes"/>
    <tableColumn id="7" name="Source URL"/>
  </tableColumns>
</table>
</file>

<file path=xl/tables/table5.xml><?xml version="1.0" encoding="utf-8"?>
<table xmlns="http://schemas.openxmlformats.org/spreadsheetml/2006/main" id="5" name="NicheTable" displayName="NicheTable" ref="A1:R501" headerRowCount="1" totalsRowCount="0" totalsRowShown="0">
  <tableColumns count="18">
    <tableColumn id="1" name="Industry"/>
    <tableColumn id="2" name="Niche"/>
    <tableColumn id="3" name="Buyer Persona"/>
    <tableColumn id="4" name="Job To Be Done"/>
    <tableColumn id="5" name="Adobe Results"/>
    <tableColumn id="6" name="Shutterstock Results"/>
    <tableColumn id="7" name="Demand (1-10)"/>
    <tableColumn id="8" name="Competition (1-10)"/>
    <tableColumn id="9" name="Commercial Value (1-10)"/>
    <tableColumn id="10" name="Evergreen (1-10)"/>
    <tableColumn id="11" name="Repeat Use (1-10)"/>
    <tableColumn id="12" name="AI Saturation (1-10)"/>
    <tableColumn id="13" name="Opportunity Score"/>
    <tableColumn id="14" name="Priority"/>
    <tableColumn id="15" name="Status"/>
    <tableColumn id="16" name="Next Action"/>
    <tableColumn id="17" name="Source URL"/>
    <tableColumn id="18" name="Notes"/>
  </tableColumns>
</table>
</file>

<file path=xl/tables/table6.xml><?xml version="1.0" encoding="utf-8"?>
<table xmlns="http://schemas.openxmlformats.org/spreadsheetml/2006/main" id="6" name="PortfolioTable" displayName="PortfolioTable" ref="A1:K500" headerRowCount="1" totalsRowCount="0" totalsRowShown="0">
  <tableColumns count="11">
    <tableColumn id="1" name="Image ID"/>
    <tableColumn id="2" name="Niche"/>
    <tableColumn id="3" name="Industry"/>
    <tableColumn id="4" name="Upload Date"/>
    <tableColumn id="5" name="Approval"/>
    <tableColumn id="6" name="Downloads"/>
    <tableColumn id="7" name="Revenue"/>
    <tableColumn id="8" name="Title"/>
    <tableColumn id="9" name="Keywords"/>
    <tableColumn id="10" name="Prompt ID"/>
    <tableColumn id="11" name="Notes"/>
  </tableColumns>
</table>
</file>

<file path=xl/tables/table7.xml><?xml version="1.0" encoding="utf-8"?>
<table xmlns="http://schemas.openxmlformats.org/spreadsheetml/2006/main" id="7" name="PromptTable" displayName="PromptTable" ref="A1:J501" headerRowCount="1" totalsRowCount="0" totalsRowShown="0">
  <tableColumns count="10">
    <tableColumn id="1" name="Prompt ID"/>
    <tableColumn id="2" name="Niche"/>
    <tableColumn id="3" name="Industry"/>
    <tableColumn id="4" name="Prompt Version"/>
    <tableColumn id="5" name="Aspect Ratio"/>
    <tableColumn id="6" name="Prompt"/>
    <tableColumn id="7" name="Negative Rules"/>
    <tableColumn id="8" name="Status"/>
    <tableColumn id="9" name="Test Result"/>
    <tableColumn id="10" name="Notes"/>
  </tableColumns>
</table>
</file>

<file path=xl/tables/table8.xml><?xml version="1.0" encoding="utf-8"?>
<table xmlns="http://schemas.openxmlformats.org/spreadsheetml/2006/main" id="8" name="ResearchQueueTable" displayName="ResearchQueueTable" ref="A1:I500" headerRowCount="1" totalsRowCount="0" totalsRowShown="0">
  <tableColumns count="9">
    <tableColumn id="1" name="Queue ID"/>
    <tableColumn id="2" name="Keyword"/>
    <tableColumn id="3" name="Industry"/>
    <tableColumn id="4" name="Priority"/>
    <tableColumn id="5" name="Research Status"/>
    <tableColumn id="6" name="Assigned To"/>
    <tableColumn id="7" name="Next Step"/>
    <tableColumn id="8" name="Source URL"/>
    <tableColumn id="9" name="Notes"/>
  </tableColumns>
</table>
</file>

<file path=xl/tables/table9.xml><?xml version="1.0" encoding="utf-8"?>
<table xmlns="http://schemas.openxmlformats.org/spreadsheetml/2006/main" id="9" name="TrendTable" displayName="TrendTable" ref="A1:G200" headerRowCount="1" totalsRowCount="0" totalsRowShown="0">
  <tableColumns count="7">
    <tableColumn id="1" name="Trend"/>
    <tableColumn id="2" name="Industry"/>
    <tableColumn id="3" name="Signal Source"/>
    <tableColumn id="4" name="Signal Strength (1-10)"/>
    <tableColumn id="5" name="Evergreen Risk"/>
    <tableColumn id="6" name="Related Niches"/>
    <tableColumn id="7" name="Actio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5.88"/>
    <col collapsed="false" customWidth="true" hidden="false" outlineLevel="0" max="4" min="4" style="0" width="24"/>
    <col collapsed="false" customWidth="true" hidden="false" outlineLevel="0" max="7" min="5" style="0" width="15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4" t="s">
        <v>1</v>
      </c>
      <c r="B3" s="4" t="s">
        <v>2</v>
      </c>
      <c r="C3" s="3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3" t="s">
        <v>8</v>
      </c>
      <c r="B4" s="3" t="n">
        <f aca="false">COUNTA('Niche Database'!B2:B501)</f>
        <v>10</v>
      </c>
      <c r="C4" s="3"/>
      <c r="D4" s="3" t="s">
        <v>9</v>
      </c>
      <c r="E4" s="3" t="n">
        <f aca="false">IFERROR(VLOOKUP(D4,'Industry Database'!A:E,3,FALSE()),"")</f>
        <v>25</v>
      </c>
      <c r="F4" s="3" t="n">
        <f aca="false">IFERROR(VLOOKUP(D4,'Industry Database'!A:E,4,FALSE()),"")</f>
        <v>1</v>
      </c>
      <c r="G4" s="5" t="n">
        <f aca="false">IFERROR(VLOOKUP(D4,'Industry Database'!A:E,5,FALSE()),"")</f>
        <v>84</v>
      </c>
      <c r="H4" s="3" t="str">
        <f aca="false">IF(G4&gt;=80,"Invest",IF(G4&gt;=60,"Watch","Avoid"))</f>
        <v>Invest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3" t="s">
        <v>10</v>
      </c>
      <c r="B5" s="3" t="n">
        <f aca="false">COUNTA('Niche Database'!M2:M501)</f>
        <v>500</v>
      </c>
      <c r="C5" s="3"/>
      <c r="D5" s="3" t="s">
        <v>11</v>
      </c>
      <c r="E5" s="3" t="n">
        <f aca="false">IFERROR(VLOOKUP(D5,'Industry Database'!A:E,3,FALSE()),"")</f>
        <v>25</v>
      </c>
      <c r="F5" s="3" t="n">
        <f aca="false">IFERROR(VLOOKUP(D5,'Industry Database'!A:E,4,FALSE()),"")</f>
        <v>2</v>
      </c>
      <c r="G5" s="5" t="n">
        <f aca="false">IFERROR(VLOOKUP(D5,'Industry Database'!A:E,5,FALSE()),"")</f>
        <v>71</v>
      </c>
      <c r="H5" s="3" t="str">
        <f aca="false">IF(G5&gt;=80,"Invest",IF(G5&gt;=60,"Watch","Avoid"))</f>
        <v>Watch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3" t="s">
        <v>12</v>
      </c>
      <c r="B6" s="3" t="n">
        <f aca="false">COUNTIF('Niche Database'!N:N,"High")</f>
        <v>8</v>
      </c>
      <c r="C6" s="3"/>
      <c r="D6" s="3" t="s">
        <v>13</v>
      </c>
      <c r="E6" s="3" t="n">
        <f aca="false">IFERROR(VLOOKUP(D6,'Industry Database'!A:E,3,FALSE()),"")</f>
        <v>25</v>
      </c>
      <c r="F6" s="3" t="n">
        <f aca="false">IFERROR(VLOOKUP(D6,'Industry Database'!A:E,4,FALSE()),"")</f>
        <v>1</v>
      </c>
      <c r="G6" s="5" t="n">
        <f aca="false">IFERROR(VLOOKUP(D6,'Industry Database'!A:E,5,FALSE()),"")</f>
        <v>82</v>
      </c>
      <c r="H6" s="3" t="str">
        <f aca="false">IF(G6&gt;=80,"Invest",IF(G6&gt;=60,"Watch","Avoid"))</f>
        <v>Invest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3" t="s">
        <v>14</v>
      </c>
      <c r="B7" s="3" t="n">
        <f aca="false">ROUND(AVERAGE('Niche Database'!M2:M501),0)</f>
        <v>34</v>
      </c>
      <c r="C7" s="3"/>
      <c r="D7" s="3" t="s">
        <v>15</v>
      </c>
      <c r="E7" s="3" t="n">
        <f aca="false">IFERROR(VLOOKUP(D7,'Industry Database'!A:E,3,FALSE()),"")</f>
        <v>25</v>
      </c>
      <c r="F7" s="3" t="n">
        <f aca="false">IFERROR(VLOOKUP(D7,'Industry Database'!A:E,4,FALSE()),"")</f>
        <v>1</v>
      </c>
      <c r="G7" s="5" t="n">
        <f aca="false">IFERROR(VLOOKUP(D7,'Industry Database'!A:E,5,FALSE()),"")</f>
        <v>79</v>
      </c>
      <c r="H7" s="3" t="str">
        <f aca="false">IF(G7&gt;=80,"Invest",IF(G7&gt;=60,"Watch","Avoid"))</f>
        <v>Watch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3" t="s">
        <v>16</v>
      </c>
      <c r="B8" s="3" t="n">
        <f aca="false">COUNTA('Portfolio Tracker'!A2:A500)</f>
        <v>3</v>
      </c>
      <c r="C8" s="3"/>
      <c r="D8" s="3" t="s">
        <v>17</v>
      </c>
      <c r="E8" s="3" t="n">
        <f aca="false">IFERROR(VLOOKUP(D8,'Industry Database'!A:E,3,FALSE()),"")</f>
        <v>25</v>
      </c>
      <c r="F8" s="3" t="n">
        <f aca="false">IFERROR(VLOOKUP(D8,'Industry Database'!A:E,4,FALSE()),"")</f>
        <v>1</v>
      </c>
      <c r="G8" s="5" t="n">
        <f aca="false">IFERROR(VLOOKUP(D8,'Industry Database'!A:E,5,FALSE()),"")</f>
        <v>74</v>
      </c>
      <c r="H8" s="3" t="str">
        <f aca="false">IF(G8&gt;=80,"Invest",IF(G8&gt;=60,"Watch","Avoid"))</f>
        <v>Watch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3" t="s">
        <v>18</v>
      </c>
      <c r="B9" s="3" t="n">
        <f aca="false">SUM('Portfolio Tracker'!F2:F500)</f>
        <v>0</v>
      </c>
      <c r="C9" s="3"/>
      <c r="D9" s="3" t="s">
        <v>19</v>
      </c>
      <c r="E9" s="3" t="n">
        <f aca="false">IFERROR(VLOOKUP(D9,'Industry Database'!A:E,3,FALSE()),"")</f>
        <v>25</v>
      </c>
      <c r="F9" s="3" t="n">
        <f aca="false">IFERROR(VLOOKUP(D9,'Industry Database'!A:E,4,FALSE()),"")</f>
        <v>1</v>
      </c>
      <c r="G9" s="5" t="n">
        <f aca="false">IFERROR(VLOOKUP(D9,'Industry Database'!A:E,5,FALSE()),"")</f>
        <v>66</v>
      </c>
      <c r="H9" s="3" t="str">
        <f aca="false">IF(G9&gt;=80,"Invest",IF(G9&gt;=60,"Watch","Avoid"))</f>
        <v>Watch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 t="s">
        <v>20</v>
      </c>
      <c r="B10" s="3" t="n">
        <f aca="false">SUM('Portfolio Tracker'!G2:G500)</f>
        <v>0</v>
      </c>
      <c r="C10" s="3"/>
      <c r="D10" s="3" t="s">
        <v>21</v>
      </c>
      <c r="E10" s="3" t="n">
        <f aca="false">IFERROR(VLOOKUP(D10,'Industry Database'!A:E,3,FALSE()),"")</f>
        <v>25</v>
      </c>
      <c r="F10" s="3" t="n">
        <f aca="false">IFERROR(VLOOKUP(D10,'Industry Database'!A:E,4,FALSE()),"")</f>
        <v>1</v>
      </c>
      <c r="G10" s="5" t="n">
        <f aca="false">IFERROR(VLOOKUP(D10,'Industry Database'!A:E,5,FALSE()),"")</f>
        <v>74</v>
      </c>
      <c r="H10" s="3" t="str">
        <f aca="false">IF(G10&gt;=80,"Invest",IF(G10&gt;=60,"Watch","Avoid"))</f>
        <v>Watch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 t="s">
        <v>22</v>
      </c>
      <c r="B11" s="3" t="str">
        <f aca="false">IFERROR(INDEX('Niche Database'!B:B,MATCH(MAX('Niche Database'!M:M),'Niche Database'!M:M,0)),"")</f>
        <v>Empty pharmacy shelf</v>
      </c>
      <c r="C11" s="3"/>
      <c r="D11" s="3" t="s">
        <v>23</v>
      </c>
      <c r="E11" s="3" t="n">
        <f aca="false">IFERROR(VLOOKUP(D11,'Industry Database'!A:E,3,FALSE()),"")</f>
        <v>25</v>
      </c>
      <c r="F11" s="3" t="n">
        <f aca="false">IFERROR(VLOOKUP(D11,'Industry Database'!A:E,4,FALSE()),"")</f>
        <v>0</v>
      </c>
      <c r="G11" s="5" t="str">
        <f aca="false">IFERROR(VLOOKUP(D11,'Industry Database'!A:E,5,FALSE()),"")</f>
        <v/>
      </c>
      <c r="H11" s="3" t="str">
        <f aca="false">IF(G11&gt;=80,"Invest",IF(G11&gt;=60,"Watch","Avoid"))</f>
        <v>Invest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 t="s">
        <v>24</v>
      </c>
      <c r="B12" s="3" t="n">
        <f aca="false">IFERROR(INDEX('Niche Database'!B:B,MATCH(MIN('Niche Database'!M2:M501),'Niche Database'!M:M,0)),"")</f>
        <v>0</v>
      </c>
      <c r="C12" s="3"/>
      <c r="D12" s="3" t="s">
        <v>25</v>
      </c>
      <c r="E12" s="3" t="n">
        <f aca="false">IFERROR(VLOOKUP(D12,'Industry Database'!A:E,3,FALSE()),"")</f>
        <v>25</v>
      </c>
      <c r="F12" s="3" t="n">
        <f aca="false">IFERROR(VLOOKUP(D12,'Industry Database'!A:E,4,FALSE()),"")</f>
        <v>1</v>
      </c>
      <c r="G12" s="5" t="n">
        <f aca="false">IFERROR(VLOOKUP(D12,'Industry Database'!A:E,5,FALSE()),"")</f>
        <v>76</v>
      </c>
      <c r="H12" s="3" t="str">
        <f aca="false">IF(G12&gt;=80,"Invest",IF(G12&gt;=60,"Watch","Avoid"))</f>
        <v>Watch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 t="s">
        <v>26</v>
      </c>
      <c r="E13" s="3" t="n">
        <f aca="false">IFERROR(VLOOKUP(D13,'Industry Database'!A:E,3,FALSE()),"")</f>
        <v>25</v>
      </c>
      <c r="F13" s="3" t="n">
        <f aca="false">IFERROR(VLOOKUP(D13,'Industry Database'!A:E,4,FALSE()),"")</f>
        <v>0</v>
      </c>
      <c r="G13" s="5" t="str">
        <f aca="false">IFERROR(VLOOKUP(D13,'Industry Database'!A:E,5,FALSE()),"")</f>
        <v/>
      </c>
      <c r="H13" s="3" t="str">
        <f aca="false">IF(G13&gt;=80,"Invest",IF(G13&gt;=60,"Watch","Avoid"))</f>
        <v>Invest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4" t="s">
        <v>27</v>
      </c>
      <c r="B15" s="4" t="s">
        <v>3</v>
      </c>
      <c r="C15" s="4" t="s">
        <v>28</v>
      </c>
      <c r="D15" s="4" t="s">
        <v>29</v>
      </c>
      <c r="E15" s="4" t="s">
        <v>30</v>
      </c>
      <c r="F15" s="4" t="s">
        <v>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8.35" hidden="false" customHeight="false" outlineLevel="0" collapsed="false">
      <c r="A16" s="3" t="str">
        <f aca="false">IFERROR(INDEX('Niche Database'!$B:$B,MATCH(LARGE('Niche Database'!$M$2:$M$501,1),'Niche Database'!$M:$M,0)),"")</f>
        <v>Empty pharmacy shelf</v>
      </c>
      <c r="B16" s="3" t="str">
        <f aca="false">IFERROR(INDEX('Niche Database'!$A:$A,MATCH(A16,'Niche Database'!$B:$B,0)),"")</f>
        <v>Healthcare</v>
      </c>
      <c r="C16" s="3" t="str">
        <f aca="false">IFERROR(INDEX('Niche Database'!$C:$C,MATCH(A16,'Niche Database'!$B:$B,0)),"")</f>
        <v>Healthcare marketer</v>
      </c>
      <c r="D16" s="5" t="n">
        <f aca="false">IFERROR(INDEX('Niche Database'!$M:$M,MATCH(A16,'Niche Database'!$B:$B,0)),"")</f>
        <v>84</v>
      </c>
      <c r="E16" s="3" t="str">
        <f aca="false">IFERROR(INDEX('Niche Database'!$N:$N,MATCH(A16,'Niche Database'!$B:$B,0)),"")</f>
        <v>High</v>
      </c>
      <c r="F16" s="3" t="str">
        <f aca="false">IFERROR(INDEX('Niche Database'!$O:$O,MATCH(A16,'Niche Database'!$B:$B,0)),"")</f>
        <v>Research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 t="str">
        <f aca="false">IFERROR(INDEX('Niche Database'!$B:$B,MATCH(LARGE('Niche Database'!$M$2:$M$501,2),'Niche Database'!$M:$M,0)),"")</f>
        <v>Pet food packaging display</v>
      </c>
      <c r="B17" s="3" t="str">
        <f aca="false">IFERROR(INDEX('Niche Database'!$A:$A,MATCH(A17,'Niche Database'!$B:$B,0)),"")</f>
        <v>Pet</v>
      </c>
      <c r="C17" s="3" t="str">
        <f aca="false">IFERROR(INDEX('Niche Database'!$C:$C,MATCH(A17,'Niche Database'!$B:$B,0)),"")</f>
        <v>Pet brand owner</v>
      </c>
      <c r="D17" s="5" t="n">
        <f aca="false">IFERROR(INDEX('Niche Database'!$M:$M,MATCH(A17,'Niche Database'!$B:$B,0)),"")</f>
        <v>82</v>
      </c>
      <c r="E17" s="3" t="str">
        <f aca="false">IFERROR(INDEX('Niche Database'!$N:$N,MATCH(A17,'Niche Database'!$B:$B,0)),"")</f>
        <v>High</v>
      </c>
      <c r="F17" s="3" t="str">
        <f aca="false">IFERROR(INDEX('Niche Database'!$O:$O,MATCH(A17,'Niche Database'!$B:$B,0)),"")</f>
        <v>Research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 t="str">
        <f aca="false">IFERROR(INDEX('Niche Database'!$B:$B,MATCH(LARGE('Niche Database'!$M$2:$M$501,3),'Niche Database'!$M:$M,0)),"")</f>
        <v>Pet food packaging display</v>
      </c>
      <c r="B18" s="3" t="str">
        <f aca="false">IFERROR(INDEX('Niche Database'!$A:$A,MATCH(A18,'Niche Database'!$B:$B,0)),"")</f>
        <v>Pet</v>
      </c>
      <c r="C18" s="3" t="str">
        <f aca="false">IFERROR(INDEX('Niche Database'!$C:$C,MATCH(A18,'Niche Database'!$B:$B,0)),"")</f>
        <v>Pet brand owner</v>
      </c>
      <c r="D18" s="5" t="n">
        <f aca="false">IFERROR(INDEX('Niche Database'!$M:$M,MATCH(A18,'Niche Database'!$B:$B,0)),"")</f>
        <v>82</v>
      </c>
      <c r="E18" s="3" t="str">
        <f aca="false">IFERROR(INDEX('Niche Database'!$N:$N,MATCH(A18,'Niche Database'!$B:$B,0)),"")</f>
        <v>High</v>
      </c>
      <c r="F18" s="3" t="str">
        <f aca="false">IFERROR(INDEX('Niche Database'!$O:$O,MATCH(A18,'Niche Database'!$B:$B,0)),"")</f>
        <v>Research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28.35" hidden="false" customHeight="false" outlineLevel="0" collapsed="false">
      <c r="A19" s="3" t="str">
        <f aca="false">IFERROR(INDEX('Niche Database'!$B:$B,MATCH(LARGE('Niche Database'!$M$2:$M$501,4),'Niche Database'!$M:$M,0)),"")</f>
        <v>Clean industrial workbench</v>
      </c>
      <c r="B19" s="3" t="str">
        <f aca="false">IFERROR(INDEX('Niche Database'!$A:$A,MATCH(A19,'Niche Database'!$B:$B,0)),"")</f>
        <v>Manufacturing</v>
      </c>
      <c r="C19" s="3" t="str">
        <f aca="false">IFERROR(INDEX('Niche Database'!$C:$C,MATCH(A19,'Niche Database'!$B:$B,0)),"")</f>
        <v>B2B manufacturer</v>
      </c>
      <c r="D19" s="5" t="n">
        <f aca="false">IFERROR(INDEX('Niche Database'!$M:$M,MATCH(A19,'Niche Database'!$B:$B,0)),"")</f>
        <v>79</v>
      </c>
      <c r="E19" s="3" t="str">
        <f aca="false">IFERROR(INDEX('Niche Database'!$N:$N,MATCH(A19,'Niche Database'!$B:$B,0)),"")</f>
        <v>High</v>
      </c>
      <c r="F19" s="3" t="str">
        <f aca="false">IFERROR(INDEX('Niche Database'!$O:$O,MATCH(A19,'Niche Database'!$B:$B,0)),"")</f>
        <v>Research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8.35" hidden="false" customHeight="false" outlineLevel="0" collapsed="false">
      <c r="A20" s="3" t="str">
        <f aca="false">IFERROR(INDEX('Niche Database'!$B:$B,MATCH(LARGE('Niche Database'!$M$2:$M$501,5),'Niche Database'!$M:$M,0)),"")</f>
        <v>Bank teller window</v>
      </c>
      <c r="B20" s="3" t="str">
        <f aca="false">IFERROR(INDEX('Niche Database'!$A:$A,MATCH(A20,'Niche Database'!$B:$B,0)),"")</f>
        <v>Finance</v>
      </c>
      <c r="C20" s="3" t="str">
        <f aca="false">IFERROR(INDEX('Niche Database'!$C:$C,MATCH(A20,'Niche Database'!$B:$B,0)),"")</f>
        <v>Banking / fintech marketer</v>
      </c>
      <c r="D20" s="5" t="n">
        <f aca="false">IFERROR(INDEX('Niche Database'!$M:$M,MATCH(A20,'Niche Database'!$B:$B,0)),"")</f>
        <v>76</v>
      </c>
      <c r="E20" s="3" t="str">
        <f aca="false">IFERROR(INDEX('Niche Database'!$N:$N,MATCH(A20,'Niche Database'!$B:$B,0)),"")</f>
        <v>High</v>
      </c>
      <c r="F20" s="3" t="str">
        <f aca="false">IFERROR(INDEX('Niche Database'!$O:$O,MATCH(A20,'Niche Database'!$B:$B,0)),"")</f>
        <v>Research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41.75" hidden="false" customHeight="false" outlineLevel="0" collapsed="false">
      <c r="A21" s="3" t="str">
        <f aca="false">IFERROR(INDEX('Niche Database'!$B:$B,MATCH(LARGE('Niche Database'!$M$2:$M$501,6),'Niche Database'!$M:$M,0)),"")</f>
        <v>Retail end-cap display</v>
      </c>
      <c r="B21" s="3" t="str">
        <f aca="false">IFERROR(INDEX('Niche Database'!$A:$A,MATCH(A21,'Niche Database'!$B:$B,0)),"")</f>
        <v>Retail</v>
      </c>
      <c r="C21" s="3" t="str">
        <f aca="false">IFERROR(INDEX('Niche Database'!$C:$C,MATCH(A21,'Niche Database'!$B:$B,0)),"")</f>
        <v>Retail merchandising marketer</v>
      </c>
      <c r="D21" s="5" t="n">
        <f aca="false">IFERROR(INDEX('Niche Database'!$M:$M,MATCH(A21,'Niche Database'!$B:$B,0)),"")</f>
        <v>74</v>
      </c>
      <c r="E21" s="3" t="str">
        <f aca="false">IFERROR(INDEX('Niche Database'!$N:$N,MATCH(A21,'Niche Database'!$B:$B,0)),"")</f>
        <v>High</v>
      </c>
      <c r="F21" s="3" t="str">
        <f aca="false">IFERROR(INDEX('Niche Database'!$O:$O,MATCH(A21,'Niche Database'!$B:$B,0)),"")</f>
        <v>Research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41.75" hidden="false" customHeight="false" outlineLevel="0" collapsed="false">
      <c r="A22" s="3" t="str">
        <f aca="false">IFERROR(INDEX('Niche Database'!$B:$B,MATCH(LARGE('Niche Database'!$M$2:$M$501,7),'Niche Database'!$M:$M,0)),"")</f>
        <v>Retail end-cap display</v>
      </c>
      <c r="B22" s="3" t="str">
        <f aca="false">IFERROR(INDEX('Niche Database'!$A:$A,MATCH(A22,'Niche Database'!$B:$B,0)),"")</f>
        <v>Retail</v>
      </c>
      <c r="C22" s="3" t="str">
        <f aca="false">IFERROR(INDEX('Niche Database'!$C:$C,MATCH(A22,'Niche Database'!$B:$B,0)),"")</f>
        <v>Retail merchandising marketer</v>
      </c>
      <c r="D22" s="5" t="n">
        <f aca="false">IFERROR(INDEX('Niche Database'!$M:$M,MATCH(A22,'Niche Database'!$B:$B,0)),"")</f>
        <v>74</v>
      </c>
      <c r="E22" s="3" t="str">
        <f aca="false">IFERROR(INDEX('Niche Database'!$N:$N,MATCH(A22,'Niche Database'!$B:$B,0)),"")</f>
        <v>High</v>
      </c>
      <c r="F22" s="3" t="str">
        <f aca="false">IFERROR(INDEX('Niche Database'!$O:$O,MATCH(A22,'Niche Database'!$B:$B,0)),"")</f>
        <v>Research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8.35" hidden="false" customHeight="false" outlineLevel="0" collapsed="false">
      <c r="A23" s="3" t="str">
        <f aca="false">IFERROR(INDEX('Niche Database'!$B:$B,MATCH(LARGE('Niche Database'!$M$2:$M$501,8),'Niche Database'!$M:$M,0)),"")</f>
        <v>Warehouse loading dock interior</v>
      </c>
      <c r="B23" s="3" t="str">
        <f aca="false">IFERROR(INDEX('Niche Database'!$A:$A,MATCH(A23,'Niche Database'!$B:$B,0)),"")</f>
        <v>Logistics</v>
      </c>
      <c r="C23" s="3" t="str">
        <f aca="false">IFERROR(INDEX('Niche Database'!$C:$C,MATCH(A23,'Niche Database'!$B:$B,0)),"")</f>
        <v>Logistics / 3PL marketer</v>
      </c>
      <c r="D23" s="5" t="n">
        <f aca="false">IFERROR(INDEX('Niche Database'!$M:$M,MATCH(A23,'Niche Database'!$B:$B,0)),"")</f>
        <v>71</v>
      </c>
      <c r="E23" s="3" t="str">
        <f aca="false">IFERROR(INDEX('Niche Database'!$N:$N,MATCH(A23,'Niche Database'!$B:$B,0)),"")</f>
        <v>High</v>
      </c>
      <c r="F23" s="3" t="str">
        <f aca="false">IFERROR(INDEX('Niche Database'!$O:$O,MATCH(A23,'Niche Database'!$B:$B,0)),"")</f>
        <v>Research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8.35" hidden="false" customHeight="false" outlineLevel="0" collapsed="false">
      <c r="A24" s="3" t="str">
        <f aca="false">IFERROR(INDEX('Niche Database'!$B:$B,MATCH(LARGE('Niche Database'!$M$2:$M$501,9),'Niche Database'!$M:$M,0)),"")</f>
        <v>Empty server room</v>
      </c>
      <c r="B24" s="3" t="str">
        <f aca="false">IFERROR(INDEX('Niche Database'!$A:$A,MATCH(A24,'Niche Database'!$B:$B,0)),"")</f>
        <v>Technology</v>
      </c>
      <c r="C24" s="3" t="str">
        <f aca="false">IFERROR(INDEX('Niche Database'!$C:$C,MATCH(A24,'Niche Database'!$B:$B,0)),"")</f>
        <v>SaaS / IT marketer</v>
      </c>
      <c r="D24" s="5" t="n">
        <f aca="false">IFERROR(INDEX('Niche Database'!$M:$M,MATCH(A24,'Niche Database'!$B:$B,0)),"")</f>
        <v>66</v>
      </c>
      <c r="E24" s="3" t="str">
        <f aca="false">IFERROR(INDEX('Niche Database'!$N:$N,MATCH(A24,'Niche Database'!$B:$B,0)),"")</f>
        <v>Medium</v>
      </c>
      <c r="F24" s="3" t="str">
        <f aca="false">IFERROR(INDEX('Niche Database'!$O:$O,MATCH(A24,'Niche Database'!$B:$B,0)),"")</f>
        <v>Research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 t="str">
        <f aca="false">IFERROR(INDEX('Niche Database'!$B:$B,MATCH(LARGE('Niche Database'!$M$2:$M$501,10),'Niche Database'!$M:$M,0)),"")</f>
        <v>Luxury product podium</v>
      </c>
      <c r="B25" s="3" t="str">
        <f aca="false">IFERROR(INDEX('Niche Database'!$A:$A,MATCH(A25,'Niche Database'!$B:$B,0)),"")</f>
        <v>FMCG &amp; Packaging</v>
      </c>
      <c r="C25" s="3" t="str">
        <f aca="false">IFERROR(INDEX('Niche Database'!$C:$C,MATCH(A25,'Niche Database'!$B:$B,0)),"")</f>
        <v>Beauty marketer</v>
      </c>
      <c r="D25" s="5" t="n">
        <f aca="false">IFERROR(INDEX('Niche Database'!$M:$M,MATCH(A25,'Niche Database'!$B:$B,0)),"")</f>
        <v>59</v>
      </c>
      <c r="E25" s="3" t="str">
        <f aca="false">IFERROR(INDEX('Niche Database'!$N:$N,MATCH(A25,'Niche Database'!$B:$B,0)),"")</f>
        <v>Avoid</v>
      </c>
      <c r="F25" s="3" t="str">
        <f aca="false">IFERROR(INDEX('Niche Database'!$O:$O,MATCH(A25,'Niche Database'!$B:$B,0)),"")</f>
        <v>Avoid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mergeCells count="1">
    <mergeCell ref="A1:H1"/>
  </mergeCells>
  <conditionalFormatting sqref="G4:G13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D16:D25">
    <cfRule type="colorScale" priority="3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6.88"/>
    <col collapsed="false" customWidth="true" hidden="false" outlineLevel="0" max="3" min="3" style="0" width="10.75"/>
    <col collapsed="false" customWidth="true" hidden="false" outlineLevel="0" max="4" min="4" style="0" width="14.75"/>
    <col collapsed="false" customWidth="true" hidden="false" outlineLevel="0" max="5" min="5" style="0" width="17.75"/>
    <col collapsed="false" customWidth="true" hidden="false" outlineLevel="0" max="6" min="6" style="0" width="8"/>
    <col collapsed="false" customWidth="true" hidden="false" outlineLevel="0" max="7" min="7" style="0" width="7.25"/>
    <col collapsed="false" customWidth="true" hidden="false" outlineLevel="0" max="8" min="8" style="0" width="5"/>
  </cols>
  <sheetData>
    <row r="1" customFormat="false" ht="28.35" hidden="false" customHeight="false" outlineLevel="0" collapsed="false">
      <c r="A1" s="2" t="s">
        <v>3</v>
      </c>
      <c r="B1" s="2" t="s">
        <v>30</v>
      </c>
      <c r="C1" s="2" t="s">
        <v>4</v>
      </c>
      <c r="D1" s="2" t="s">
        <v>10</v>
      </c>
      <c r="E1" s="2" t="s">
        <v>14</v>
      </c>
      <c r="F1" s="2" t="s">
        <v>31</v>
      </c>
      <c r="G1" s="2" t="s">
        <v>7</v>
      </c>
      <c r="H1" s="2" t="s">
        <v>32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41.75" hidden="false" customHeight="false" outlineLevel="0" collapsed="false">
      <c r="A2" s="3" t="s">
        <v>9</v>
      </c>
      <c r="B2" s="3" t="s">
        <v>33</v>
      </c>
      <c r="C2" s="3" t="n">
        <v>25</v>
      </c>
      <c r="D2" s="3" t="n">
        <f aca="false">COUNTIF('Niche Database'!$A$2:$A$501,A2)</f>
        <v>1</v>
      </c>
      <c r="E2" s="5" t="n">
        <f aca="false">IFERROR(ROUND(SUMIF('Niche Database'!$A$2:$A$501,A2,'Niche Database'!$M$2:$M$501)/COUNTIF('Niche Database'!$A$2:$A$501,A2),0),"")</f>
        <v>84</v>
      </c>
      <c r="F2" s="3" t="str">
        <f aca="false">IFERROR(INDEX('Niche Database'!$B$2:$B$501,MATCH(1,('Niche Database'!$A$2:$A$501=A2)*('Niche Database'!$M$2:$M$501=E2),0)),"")</f>
        <v>Empty pharmacy shelf</v>
      </c>
      <c r="G2" s="3" t="s">
        <v>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3" t="s">
        <v>11</v>
      </c>
      <c r="B3" s="3" t="s">
        <v>33</v>
      </c>
      <c r="C3" s="3" t="n">
        <v>25</v>
      </c>
      <c r="D3" s="3" t="n">
        <f aca="false">COUNTIF('Niche Database'!$A$2:$A$501,A3)</f>
        <v>2</v>
      </c>
      <c r="E3" s="5" t="n">
        <f aca="false">IFERROR(ROUND(SUMIF('Niche Database'!$A$2:$A$501,A3,'Niche Database'!$M$2:$M$501)/COUNTIF('Niche Database'!$A$2:$A$501,A3),0),"")</f>
        <v>71</v>
      </c>
      <c r="F3" s="3" t="str">
        <f aca="false">IFERROR(INDEX('Niche Database'!$B$2:$B$501,MATCH(1,('Niche Database'!$A$2:$A$501=A3)*('Niche Database'!$M$2:$M$501=E3),0)),"")</f>
        <v/>
      </c>
      <c r="G3" s="3" t="s">
        <v>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41.75" hidden="false" customHeight="false" outlineLevel="0" collapsed="false">
      <c r="A4" s="3" t="s">
        <v>13</v>
      </c>
      <c r="B4" s="3" t="s">
        <v>33</v>
      </c>
      <c r="C4" s="3" t="n">
        <v>25</v>
      </c>
      <c r="D4" s="3" t="n">
        <f aca="false">COUNTIF('Niche Database'!$A$2:$A$501,A4)</f>
        <v>1</v>
      </c>
      <c r="E4" s="5" t="n">
        <f aca="false">IFERROR(ROUND(SUMIF('Niche Database'!$A$2:$A$501,A4,'Niche Database'!$M$2:$M$501)/COUNTIF('Niche Database'!$A$2:$A$501,A4),0),"")</f>
        <v>82</v>
      </c>
      <c r="F4" s="3" t="str">
        <f aca="false">IFERROR(INDEX('Niche Database'!$B$2:$B$501,MATCH(1,('Niche Database'!$A$2:$A$501=A4)*('Niche Database'!$M$2:$M$501=E4),0)),"")</f>
        <v>Pet food packaging display</v>
      </c>
      <c r="G4" s="3" t="s">
        <v>34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68.65" hidden="false" customHeight="false" outlineLevel="0" collapsed="false">
      <c r="A5" s="3" t="s">
        <v>15</v>
      </c>
      <c r="B5" s="3" t="s">
        <v>33</v>
      </c>
      <c r="C5" s="3" t="n">
        <v>25</v>
      </c>
      <c r="D5" s="3" t="n">
        <f aca="false">COUNTIF('Niche Database'!$A$2:$A$501,A5)</f>
        <v>1</v>
      </c>
      <c r="E5" s="5" t="n">
        <f aca="false">IFERROR(ROUND(SUMIF('Niche Database'!$A$2:$A$501,A5,'Niche Database'!$M$2:$M$501)/COUNTIF('Niche Database'!$A$2:$A$501,A5),0),"")</f>
        <v>79</v>
      </c>
      <c r="F5" s="3" t="str">
        <f aca="false">IFERROR(INDEX('Niche Database'!$B$2:$B$501,MATCH(1,('Niche Database'!$A$2:$A$501=A5)*('Niche Database'!$M$2:$M$501=E5),0)),"")</f>
        <v>Clean industrial workbench</v>
      </c>
      <c r="G5" s="3" t="s">
        <v>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41.75" hidden="false" customHeight="false" outlineLevel="0" collapsed="false">
      <c r="A6" s="3" t="s">
        <v>17</v>
      </c>
      <c r="B6" s="3" t="s">
        <v>33</v>
      </c>
      <c r="C6" s="3" t="n">
        <v>25</v>
      </c>
      <c r="D6" s="3" t="n">
        <f aca="false">COUNTIF('Niche Database'!$A$2:$A$501,A6)</f>
        <v>1</v>
      </c>
      <c r="E6" s="5" t="n">
        <f aca="false">IFERROR(ROUND(SUMIF('Niche Database'!$A$2:$A$501,A6,'Niche Database'!$M$2:$M$501)/COUNTIF('Niche Database'!$A$2:$A$501,A6),0),"")</f>
        <v>74</v>
      </c>
      <c r="F6" s="3" t="str">
        <f aca="false">IFERROR(INDEX('Niche Database'!$B$2:$B$501,MATCH(1,('Niche Database'!$A$2:$A$501=A6)*('Niche Database'!$M$2:$M$501=E6),0)),"")</f>
        <v>Retail end-cap display</v>
      </c>
      <c r="G6" s="3" t="s">
        <v>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41.75" hidden="false" customHeight="false" outlineLevel="0" collapsed="false">
      <c r="A7" s="3" t="s">
        <v>19</v>
      </c>
      <c r="B7" s="3" t="s">
        <v>35</v>
      </c>
      <c r="C7" s="3" t="n">
        <v>25</v>
      </c>
      <c r="D7" s="3" t="n">
        <f aca="false">COUNTIF('Niche Database'!$A$2:$A$501,A7)</f>
        <v>1</v>
      </c>
      <c r="E7" s="5" t="n">
        <f aca="false">IFERROR(ROUND(SUMIF('Niche Database'!$A$2:$A$501,A7,'Niche Database'!$M$2:$M$501)/COUNTIF('Niche Database'!$A$2:$A$501,A7),0),"")</f>
        <v>66</v>
      </c>
      <c r="F7" s="3" t="str">
        <f aca="false">IFERROR(INDEX('Niche Database'!$B$2:$B$501,MATCH(1,('Niche Database'!$A$2:$A$501=A7)*('Niche Database'!$M$2:$M$501=E7),0)),"")</f>
        <v>Empty server room</v>
      </c>
      <c r="G7" s="3" t="s">
        <v>34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68.65" hidden="false" customHeight="false" outlineLevel="0" collapsed="false">
      <c r="A8" s="3" t="s">
        <v>21</v>
      </c>
      <c r="B8" s="3" t="s">
        <v>35</v>
      </c>
      <c r="C8" s="3" t="n">
        <v>25</v>
      </c>
      <c r="D8" s="3" t="n">
        <f aca="false">COUNTIF('Niche Database'!$A$2:$A$501,A8)</f>
        <v>1</v>
      </c>
      <c r="E8" s="5" t="n">
        <f aca="false">IFERROR(ROUND(SUMIF('Niche Database'!$A$2:$A$501,A8,'Niche Database'!$M$2:$M$501)/COUNTIF('Niche Database'!$A$2:$A$501,A8),0),"")</f>
        <v>74</v>
      </c>
      <c r="F8" s="3" t="str">
        <f aca="false">IFERROR(INDEX('Niche Database'!$B$2:$B$501,MATCH(1,('Niche Database'!$A$2:$A$501=A8)*('Niche Database'!$M$2:$M$501=E8),0)),"")</f>
        <v>Construction site office trailer</v>
      </c>
      <c r="G8" s="3" t="s">
        <v>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8.35" hidden="false" customHeight="false" outlineLevel="0" collapsed="false">
      <c r="A9" s="3" t="s">
        <v>23</v>
      </c>
      <c r="B9" s="3" t="s">
        <v>35</v>
      </c>
      <c r="C9" s="3" t="n">
        <v>25</v>
      </c>
      <c r="D9" s="3" t="n">
        <f aca="false">COUNTIF('Niche Database'!$A$2:$A$501,A9)</f>
        <v>0</v>
      </c>
      <c r="E9" s="5" t="str">
        <f aca="false">IFERROR(ROUND(SUMIF('Niche Database'!$A$2:$A$501,A9,'Niche Database'!$M$2:$M$501)/COUNTIF('Niche Database'!$A$2:$A$501,A9),0),"")</f>
        <v/>
      </c>
      <c r="F9" s="3" t="str">
        <f aca="false">IFERROR(INDEX('Niche Database'!$B$2:$B$501,MATCH(1,('Niche Database'!$A$2:$A$501=A9)*('Niche Database'!$M$2:$M$501=E9),0)),"")</f>
        <v/>
      </c>
      <c r="G9" s="3" t="s">
        <v>34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41.75" hidden="false" customHeight="false" outlineLevel="0" collapsed="false">
      <c r="A10" s="3" t="s">
        <v>25</v>
      </c>
      <c r="B10" s="3" t="s">
        <v>35</v>
      </c>
      <c r="C10" s="3" t="n">
        <v>25</v>
      </c>
      <c r="D10" s="3" t="n">
        <f aca="false">COUNTIF('Niche Database'!$A$2:$A$501,A10)</f>
        <v>1</v>
      </c>
      <c r="E10" s="5" t="n">
        <f aca="false">IFERROR(ROUND(SUMIF('Niche Database'!$A$2:$A$501,A10,'Niche Database'!$M$2:$M$501)/COUNTIF('Niche Database'!$A$2:$A$501,A10),0),"")</f>
        <v>76</v>
      </c>
      <c r="F10" s="3" t="str">
        <f aca="false">IFERROR(INDEX('Niche Database'!$B$2:$B$501,MATCH(1,('Niche Database'!$A$2:$A$501=A10)*('Niche Database'!$M$2:$M$501=E10),0)),"")</f>
        <v>Bank teller window</v>
      </c>
      <c r="G10" s="3" t="s">
        <v>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28.35" hidden="false" customHeight="false" outlineLevel="0" collapsed="false">
      <c r="A11" s="3" t="s">
        <v>26</v>
      </c>
      <c r="B11" s="3" t="s">
        <v>35</v>
      </c>
      <c r="C11" s="3" t="n">
        <v>25</v>
      </c>
      <c r="D11" s="3" t="n">
        <f aca="false">COUNTIF('Niche Database'!$A$2:$A$501,A11)</f>
        <v>0</v>
      </c>
      <c r="E11" s="5" t="str">
        <f aca="false">IFERROR(ROUND(SUMIF('Niche Database'!$A$2:$A$501,A11,'Niche Database'!$M$2:$M$501)/COUNTIF('Niche Database'!$A$2:$A$501,A11),0),"")</f>
        <v/>
      </c>
      <c r="F11" s="3" t="str">
        <f aca="false">IFERROR(INDEX('Niche Database'!$B$2:$B$501,MATCH(1,('Niche Database'!$A$2:$A$501=A11)*('Niche Database'!$M$2:$M$501=E11),0)),"")</f>
        <v/>
      </c>
      <c r="G11" s="3" t="s">
        <v>34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68.65" hidden="false" customHeight="false" outlineLevel="0" collapsed="false">
      <c r="A12" s="3" t="s">
        <v>36</v>
      </c>
      <c r="B12" s="3" t="s">
        <v>35</v>
      </c>
      <c r="C12" s="3" t="n">
        <v>25</v>
      </c>
      <c r="D12" s="3" t="n">
        <f aca="false">COUNTIF('Niche Database'!$A$2:$A$501,A12)</f>
        <v>1</v>
      </c>
      <c r="E12" s="5" t="n">
        <f aca="false">IFERROR(ROUND(SUMIF('Niche Database'!$A$2:$A$501,A12,'Niche Database'!$M$2:$M$501)/COUNTIF('Niche Database'!$A$2:$A$501,A12),0),"")</f>
        <v>71</v>
      </c>
      <c r="F12" s="3" t="str">
        <f aca="false">IFERROR(INDEX('Niche Database'!$B$2:$B$501,MATCH(1,('Niche Database'!$A$2:$A$501=A12)*('Niche Database'!$M$2:$M$501=E12),0)),"")</f>
        <v>Warehouse loading dock interior</v>
      </c>
      <c r="G12" s="3" t="s">
        <v>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8.35" hidden="false" customHeight="false" outlineLevel="0" collapsed="false">
      <c r="A13" s="3" t="s">
        <v>37</v>
      </c>
      <c r="B13" s="3" t="s">
        <v>35</v>
      </c>
      <c r="C13" s="3" t="n">
        <v>25</v>
      </c>
      <c r="D13" s="3" t="n">
        <f aca="false">COUNTIF('Niche Database'!$A$2:$A$501,A13)</f>
        <v>0</v>
      </c>
      <c r="E13" s="5" t="str">
        <f aca="false">IFERROR(ROUND(SUMIF('Niche Database'!$A$2:$A$501,A13,'Niche Database'!$M$2:$M$501)/COUNTIF('Niche Database'!$A$2:$A$501,A13),0),"")</f>
        <v/>
      </c>
      <c r="F13" s="3" t="str">
        <f aca="false">IFERROR(INDEX('Niche Database'!$B$2:$B$501,MATCH(1,('Niche Database'!$A$2:$A$501=A13)*('Niche Database'!$M$2:$M$501=E13),0)),"")</f>
        <v/>
      </c>
      <c r="G13" s="3" t="s">
        <v>34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28.35" hidden="false" customHeight="false" outlineLevel="0" collapsed="false">
      <c r="A14" s="3" t="s">
        <v>38</v>
      </c>
      <c r="B14" s="3" t="s">
        <v>35</v>
      </c>
      <c r="C14" s="3" t="n">
        <v>25</v>
      </c>
      <c r="D14" s="3" t="n">
        <f aca="false">COUNTIF('Niche Database'!$A$2:$A$501,A14)</f>
        <v>0</v>
      </c>
      <c r="E14" s="5" t="str">
        <f aca="false">IFERROR(ROUND(SUMIF('Niche Database'!$A$2:$A$501,A14,'Niche Database'!$M$2:$M$501)/COUNTIF('Niche Database'!$A$2:$A$501,A14),0),"")</f>
        <v/>
      </c>
      <c r="F14" s="3" t="str">
        <f aca="false">IFERROR(INDEX('Niche Database'!$B$2:$B$501,MATCH(1,('Niche Database'!$A$2:$A$501=A14)*('Niche Database'!$M$2:$M$501=E14),0)),"")</f>
        <v/>
      </c>
      <c r="G14" s="3" t="s">
        <v>34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8.35" hidden="false" customHeight="false" outlineLevel="0" collapsed="false">
      <c r="A15" s="3" t="s">
        <v>39</v>
      </c>
      <c r="B15" s="3" t="s">
        <v>35</v>
      </c>
      <c r="C15" s="3" t="n">
        <v>25</v>
      </c>
      <c r="D15" s="3" t="n">
        <f aca="false">COUNTIF('Niche Database'!$A$2:$A$501,A15)</f>
        <v>0</v>
      </c>
      <c r="E15" s="5" t="str">
        <f aca="false">IFERROR(ROUND(SUMIF('Niche Database'!$A$2:$A$501,A15,'Niche Database'!$M$2:$M$501)/COUNTIF('Niche Database'!$A$2:$A$501,A15),0),"")</f>
        <v/>
      </c>
      <c r="F15" s="3" t="str">
        <f aca="false">IFERROR(INDEX('Niche Database'!$B$2:$B$501,MATCH(1,('Niche Database'!$A$2:$A$501=A15)*('Niche Database'!$M$2:$M$501=E15),0)),"")</f>
        <v/>
      </c>
      <c r="G15" s="3" t="s">
        <v>34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8.35" hidden="false" customHeight="false" outlineLevel="0" collapsed="false">
      <c r="A16" s="3" t="s">
        <v>40</v>
      </c>
      <c r="B16" s="3" t="s">
        <v>35</v>
      </c>
      <c r="C16" s="3" t="n">
        <v>25</v>
      </c>
      <c r="D16" s="3" t="n">
        <f aca="false">COUNTIF('Niche Database'!$A$2:$A$501,A16)</f>
        <v>0</v>
      </c>
      <c r="E16" s="5" t="str">
        <f aca="false">IFERROR(ROUND(SUMIF('Niche Database'!$A$2:$A$501,A16,'Niche Database'!$M$2:$M$501)/COUNTIF('Niche Database'!$A$2:$A$501,A16),0),"")</f>
        <v/>
      </c>
      <c r="F16" s="3" t="str">
        <f aca="false">IFERROR(INDEX('Niche Database'!$B$2:$B$501,MATCH(1,('Niche Database'!$A$2:$A$501=A16)*('Niche Database'!$M$2:$M$501=E16),0)),"")</f>
        <v/>
      </c>
      <c r="G16" s="3" t="s">
        <v>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conditionalFormatting sqref="E2:E100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2" min="10" style="0" width="16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7" min="16" style="0" width="24"/>
    <col collapsed="false" customWidth="true" hidden="false" outlineLevel="0" max="18" min="18" style="0" width="36"/>
  </cols>
  <sheetData>
    <row r="1" customFormat="false" ht="28.35" hidden="false" customHeight="false" outlineLevel="0" collapsed="false">
      <c r="A1" s="2" t="s">
        <v>3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30</v>
      </c>
      <c r="O1" s="2" t="s">
        <v>7</v>
      </c>
      <c r="P1" s="2" t="s">
        <v>53</v>
      </c>
      <c r="Q1" s="2" t="s">
        <v>54</v>
      </c>
      <c r="R1" s="2" t="s">
        <v>32</v>
      </c>
      <c r="S1" s="2"/>
      <c r="T1" s="2"/>
      <c r="U1" s="2"/>
      <c r="V1" s="2"/>
      <c r="W1" s="2"/>
      <c r="X1" s="2"/>
      <c r="Y1" s="2"/>
      <c r="Z1" s="2"/>
    </row>
    <row r="2" customFormat="false" ht="28.35" hidden="false" customHeight="false" outlineLevel="0" collapsed="false">
      <c r="A2" s="6" t="s">
        <v>9</v>
      </c>
      <c r="B2" s="3" t="s">
        <v>55</v>
      </c>
      <c r="C2" s="3" t="s">
        <v>56</v>
      </c>
      <c r="D2" s="3" t="s">
        <v>57</v>
      </c>
      <c r="E2" s="3" t="n">
        <v>3000</v>
      </c>
      <c r="F2" s="3" t="n">
        <v>12000</v>
      </c>
      <c r="G2" s="3" t="n">
        <v>8</v>
      </c>
      <c r="H2" s="3" t="n">
        <v>3</v>
      </c>
      <c r="I2" s="3" t="n">
        <v>9</v>
      </c>
      <c r="J2" s="3" t="n">
        <v>9</v>
      </c>
      <c r="K2" s="3" t="n">
        <v>9</v>
      </c>
      <c r="L2" s="3" t="n">
        <v>3</v>
      </c>
      <c r="M2" s="5" t="n">
        <f aca="false">ROUND(((G2*30)+((11-H2)*25)+(I2*20)+(J2*10)+(K2*10)+((11-L2)*5))/10,0)</f>
        <v>84</v>
      </c>
      <c r="N2" s="6" t="s">
        <v>33</v>
      </c>
      <c r="O2" s="6" t="s">
        <v>34</v>
      </c>
      <c r="P2" s="3" t="s">
        <v>58</v>
      </c>
      <c r="Q2" s="3" t="s">
        <v>59</v>
      </c>
      <c r="R2" s="3" t="s">
        <v>60</v>
      </c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6" t="s">
        <v>13</v>
      </c>
      <c r="B3" s="3" t="s">
        <v>61</v>
      </c>
      <c r="C3" s="3" t="s">
        <v>62</v>
      </c>
      <c r="D3" s="3" t="s">
        <v>63</v>
      </c>
      <c r="E3" s="3" t="n">
        <v>5000</v>
      </c>
      <c r="F3" s="3" t="n">
        <v>18000</v>
      </c>
      <c r="G3" s="3" t="n">
        <v>8</v>
      </c>
      <c r="H3" s="3" t="n">
        <v>3</v>
      </c>
      <c r="I3" s="3" t="n">
        <v>9</v>
      </c>
      <c r="J3" s="3" t="n">
        <v>8</v>
      </c>
      <c r="K3" s="3" t="n">
        <v>8</v>
      </c>
      <c r="L3" s="3" t="n">
        <v>3</v>
      </c>
      <c r="M3" s="5" t="n">
        <f aca="false">ROUND(((G3*30)+((11-H3)*25)+(I3*20)+(J3*10)+(K3*10)+((11-L3)*5))/10,0)</f>
        <v>82</v>
      </c>
      <c r="N3" s="6" t="s">
        <v>33</v>
      </c>
      <c r="O3" s="6" t="s">
        <v>34</v>
      </c>
      <c r="P3" s="3" t="s">
        <v>64</v>
      </c>
      <c r="Q3" s="3" t="s">
        <v>59</v>
      </c>
      <c r="R3" s="3" t="s">
        <v>65</v>
      </c>
      <c r="S3" s="3"/>
      <c r="T3" s="3"/>
      <c r="U3" s="3"/>
      <c r="V3" s="3"/>
      <c r="W3" s="3"/>
      <c r="X3" s="3"/>
      <c r="Y3" s="3"/>
      <c r="Z3" s="3"/>
    </row>
    <row r="4" customFormat="false" ht="28.35" hidden="false" customHeight="false" outlineLevel="0" collapsed="false">
      <c r="A4" s="6" t="s">
        <v>11</v>
      </c>
      <c r="B4" s="3" t="s">
        <v>66</v>
      </c>
      <c r="C4" s="3" t="s">
        <v>67</v>
      </c>
      <c r="D4" s="3" t="s">
        <v>68</v>
      </c>
      <c r="E4" s="3" t="n">
        <v>8000</v>
      </c>
      <c r="F4" s="3" t="n">
        <v>25000</v>
      </c>
      <c r="G4" s="3" t="n">
        <v>7</v>
      </c>
      <c r="H4" s="3" t="n">
        <v>2</v>
      </c>
      <c r="I4" s="3" t="n">
        <v>9</v>
      </c>
      <c r="J4" s="3" t="n">
        <v>8</v>
      </c>
      <c r="K4" s="3" t="n">
        <v>8</v>
      </c>
      <c r="L4" s="3" t="n">
        <v>3</v>
      </c>
      <c r="M4" s="5" t="n">
        <f aca="false">ROUND(((G4*30)+((11-H4)*25)+(I4*20)+(J4*10)+(K4*10)+((11-L4)*5))/10,0)</f>
        <v>82</v>
      </c>
      <c r="N4" s="6" t="s">
        <v>33</v>
      </c>
      <c r="O4" s="6" t="s">
        <v>34</v>
      </c>
      <c r="P4" s="3" t="s">
        <v>69</v>
      </c>
      <c r="Q4" s="3" t="s">
        <v>59</v>
      </c>
      <c r="R4" s="3" t="s">
        <v>70</v>
      </c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6" t="s">
        <v>11</v>
      </c>
      <c r="B5" s="3" t="s">
        <v>71</v>
      </c>
      <c r="C5" s="3" t="s">
        <v>72</v>
      </c>
      <c r="D5" s="3" t="s">
        <v>73</v>
      </c>
      <c r="E5" s="3" t="n">
        <v>3600000</v>
      </c>
      <c r="F5" s="3" t="n">
        <v>9000000</v>
      </c>
      <c r="G5" s="3" t="n">
        <v>9</v>
      </c>
      <c r="H5" s="3" t="n">
        <v>10</v>
      </c>
      <c r="I5" s="3" t="n">
        <v>7</v>
      </c>
      <c r="J5" s="3" t="n">
        <v>7</v>
      </c>
      <c r="K5" s="3" t="n">
        <v>7</v>
      </c>
      <c r="L5" s="3" t="n">
        <v>9</v>
      </c>
      <c r="M5" s="5" t="n">
        <f aca="false">ROUND(((G5*30)+((11-H5)*25)+(I5*20)+(J5*10)+(K5*10)+((11-L5)*5))/10,0)</f>
        <v>59</v>
      </c>
      <c r="N5" s="6" t="s">
        <v>74</v>
      </c>
      <c r="O5" s="6" t="s">
        <v>74</v>
      </c>
      <c r="P5" s="3" t="s">
        <v>75</v>
      </c>
      <c r="Q5" s="3" t="s">
        <v>59</v>
      </c>
      <c r="R5" s="3" t="s">
        <v>76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6" t="s">
        <v>15</v>
      </c>
      <c r="B6" s="3" t="s">
        <v>77</v>
      </c>
      <c r="C6" s="3" t="s">
        <v>78</v>
      </c>
      <c r="D6" s="3" t="s">
        <v>79</v>
      </c>
      <c r="E6" s="3" t="n">
        <v>15000</v>
      </c>
      <c r="F6" s="3" t="n">
        <v>45000</v>
      </c>
      <c r="G6" s="3" t="n">
        <v>7</v>
      </c>
      <c r="H6" s="3" t="n">
        <v>3</v>
      </c>
      <c r="I6" s="3" t="n">
        <v>8</v>
      </c>
      <c r="J6" s="3" t="n">
        <v>9</v>
      </c>
      <c r="K6" s="3" t="n">
        <v>8</v>
      </c>
      <c r="L6" s="3" t="n">
        <v>2</v>
      </c>
      <c r="M6" s="5" t="n">
        <f aca="false">ROUND(((G6*30)+((11-H6)*25)+(I6*20)+(J6*10)+(K6*10)+((11-L6)*5))/10,0)</f>
        <v>79</v>
      </c>
      <c r="N6" s="6" t="s">
        <v>33</v>
      </c>
      <c r="O6" s="6" t="s">
        <v>34</v>
      </c>
      <c r="P6" s="3" t="s">
        <v>80</v>
      </c>
      <c r="Q6" s="3" t="s">
        <v>59</v>
      </c>
      <c r="R6" s="3" t="s">
        <v>81</v>
      </c>
      <c r="S6" s="3"/>
      <c r="T6" s="3"/>
      <c r="U6" s="3"/>
      <c r="V6" s="3"/>
      <c r="W6" s="3"/>
      <c r="X6" s="3"/>
      <c r="Y6" s="3"/>
      <c r="Z6" s="3"/>
    </row>
    <row r="7" customFormat="false" ht="95.5" hidden="false" customHeight="false" outlineLevel="0" collapsed="false">
      <c r="A7" s="6" t="s">
        <v>17</v>
      </c>
      <c r="B7" s="3" t="s">
        <v>82</v>
      </c>
      <c r="C7" s="3" t="s">
        <v>83</v>
      </c>
      <c r="D7" s="3" t="s">
        <v>84</v>
      </c>
      <c r="E7" s="3" t="n">
        <v>176</v>
      </c>
      <c r="F7" s="3" t="n">
        <v>188</v>
      </c>
      <c r="G7" s="3" t="n">
        <v>6</v>
      </c>
      <c r="H7" s="3" t="n">
        <v>2</v>
      </c>
      <c r="I7" s="3" t="n">
        <v>7</v>
      </c>
      <c r="J7" s="3" t="n">
        <v>8</v>
      </c>
      <c r="K7" s="3" t="n">
        <v>7</v>
      </c>
      <c r="L7" s="3" t="n">
        <v>2</v>
      </c>
      <c r="M7" s="5" t="n">
        <f aca="false">ROUND(((G7*30)+((11-H7)*25)+(I7*20)+(J7*10)+(K7*10)+((11-L7)*5))/10,0)</f>
        <v>74</v>
      </c>
      <c r="N7" s="6" t="s">
        <v>33</v>
      </c>
      <c r="O7" s="6" t="s">
        <v>34</v>
      </c>
      <c r="P7" s="3" t="s">
        <v>64</v>
      </c>
      <c r="Q7" s="3" t="s">
        <v>59</v>
      </c>
      <c r="R7" s="3" t="s">
        <v>85</v>
      </c>
      <c r="S7" s="3"/>
      <c r="T7" s="3"/>
      <c r="U7" s="3"/>
      <c r="V7" s="3"/>
      <c r="W7" s="3"/>
      <c r="X7" s="3"/>
      <c r="Y7" s="3"/>
      <c r="Z7" s="3"/>
    </row>
    <row r="8" customFormat="false" ht="135.8" hidden="false" customHeight="false" outlineLevel="0" collapsed="false">
      <c r="A8" s="6" t="s">
        <v>19</v>
      </c>
      <c r="B8" s="3" t="s">
        <v>86</v>
      </c>
      <c r="C8" s="3" t="s">
        <v>87</v>
      </c>
      <c r="D8" s="3" t="s">
        <v>88</v>
      </c>
      <c r="E8" s="3" t="n">
        <v>26525</v>
      </c>
      <c r="F8" s="3" t="n">
        <v>90000</v>
      </c>
      <c r="G8" s="3" t="n">
        <v>8</v>
      </c>
      <c r="H8" s="3" t="n">
        <v>6</v>
      </c>
      <c r="I8" s="3" t="n">
        <v>7</v>
      </c>
      <c r="J8" s="3" t="n">
        <v>7</v>
      </c>
      <c r="K8" s="3" t="n">
        <v>6</v>
      </c>
      <c r="L8" s="3" t="n">
        <v>6</v>
      </c>
      <c r="M8" s="5" t="n">
        <f aca="false">ROUND(((G8*30)+((11-H8)*25)+(I8*20)+(J8*10)+(K8*10)+((11-L8)*5))/10,0)</f>
        <v>66</v>
      </c>
      <c r="N8" s="6" t="s">
        <v>35</v>
      </c>
      <c r="O8" s="6" t="s">
        <v>34</v>
      </c>
      <c r="P8" s="3" t="s">
        <v>89</v>
      </c>
      <c r="Q8" s="3" t="s">
        <v>59</v>
      </c>
      <c r="R8" s="3" t="s">
        <v>90</v>
      </c>
      <c r="S8" s="3"/>
      <c r="T8" s="3"/>
      <c r="U8" s="3"/>
      <c r="V8" s="3"/>
      <c r="W8" s="3"/>
      <c r="X8" s="3"/>
      <c r="Y8" s="3"/>
      <c r="Z8" s="3"/>
    </row>
    <row r="9" customFormat="false" ht="122.35" hidden="false" customHeight="false" outlineLevel="0" collapsed="false">
      <c r="A9" s="6" t="s">
        <v>21</v>
      </c>
      <c r="B9" s="3" t="s">
        <v>91</v>
      </c>
      <c r="C9" s="3" t="s">
        <v>92</v>
      </c>
      <c r="D9" s="3" t="s">
        <v>93</v>
      </c>
      <c r="E9" s="3" t="n">
        <v>2655</v>
      </c>
      <c r="F9" s="3" t="n">
        <v>8000</v>
      </c>
      <c r="G9" s="3" t="n">
        <v>6</v>
      </c>
      <c r="H9" s="3" t="n">
        <v>2</v>
      </c>
      <c r="I9" s="3" t="n">
        <v>7</v>
      </c>
      <c r="J9" s="3" t="n">
        <v>8</v>
      </c>
      <c r="K9" s="3" t="n">
        <v>7</v>
      </c>
      <c r="L9" s="3" t="n">
        <v>3</v>
      </c>
      <c r="M9" s="5" t="n">
        <f aca="false">ROUND(((G9*30)+((11-H9)*25)+(I9*20)+(J9*10)+(K9*10)+((11-L9)*5))/10,0)</f>
        <v>74</v>
      </c>
      <c r="N9" s="6" t="s">
        <v>33</v>
      </c>
      <c r="O9" s="6" t="s">
        <v>34</v>
      </c>
      <c r="P9" s="3" t="s">
        <v>94</v>
      </c>
      <c r="Q9" s="3" t="s">
        <v>59</v>
      </c>
      <c r="R9" s="3" t="s">
        <v>95</v>
      </c>
      <c r="S9" s="3"/>
      <c r="T9" s="3"/>
      <c r="U9" s="3"/>
      <c r="V9" s="3"/>
      <c r="W9" s="3"/>
      <c r="X9" s="3"/>
      <c r="Y9" s="3"/>
      <c r="Z9" s="3"/>
    </row>
    <row r="10" customFormat="false" ht="68.65" hidden="false" customHeight="false" outlineLevel="0" collapsed="false">
      <c r="A10" s="6" t="s">
        <v>25</v>
      </c>
      <c r="B10" s="3" t="s">
        <v>96</v>
      </c>
      <c r="C10" s="3" t="s">
        <v>97</v>
      </c>
      <c r="D10" s="3" t="s">
        <v>98</v>
      </c>
      <c r="E10" s="3" t="n">
        <v>4436</v>
      </c>
      <c r="F10" s="3" t="n">
        <v>13000</v>
      </c>
      <c r="G10" s="3" t="n">
        <v>7</v>
      </c>
      <c r="H10" s="3" t="n">
        <v>3</v>
      </c>
      <c r="I10" s="3" t="n">
        <v>8</v>
      </c>
      <c r="J10" s="3" t="n">
        <v>8</v>
      </c>
      <c r="K10" s="3" t="n">
        <v>7</v>
      </c>
      <c r="L10" s="3" t="n">
        <v>4</v>
      </c>
      <c r="M10" s="5" t="n">
        <f aca="false">ROUND(((G10*30)+((11-H10)*25)+(I10*20)+(J10*10)+(K10*10)+((11-L10)*5))/10,0)</f>
        <v>76</v>
      </c>
      <c r="N10" s="6" t="s">
        <v>33</v>
      </c>
      <c r="O10" s="6" t="s">
        <v>34</v>
      </c>
      <c r="P10" s="3" t="s">
        <v>99</v>
      </c>
      <c r="Q10" s="3" t="s">
        <v>59</v>
      </c>
      <c r="R10" s="3" t="s">
        <v>100</v>
      </c>
      <c r="S10" s="3"/>
      <c r="T10" s="3"/>
      <c r="U10" s="3"/>
      <c r="V10" s="3"/>
      <c r="W10" s="3"/>
      <c r="X10" s="3"/>
      <c r="Y10" s="3"/>
      <c r="Z10" s="3"/>
    </row>
    <row r="11" customFormat="false" ht="41.75" hidden="false" customHeight="false" outlineLevel="0" collapsed="false">
      <c r="A11" s="6" t="s">
        <v>36</v>
      </c>
      <c r="B11" s="3" t="s">
        <v>101</v>
      </c>
      <c r="C11" s="3" t="s">
        <v>102</v>
      </c>
      <c r="D11" s="3" t="s">
        <v>103</v>
      </c>
      <c r="E11" s="3" t="n">
        <v>8231</v>
      </c>
      <c r="F11" s="3" t="n">
        <v>24000</v>
      </c>
      <c r="G11" s="3" t="n">
        <v>7</v>
      </c>
      <c r="H11" s="3" t="n">
        <v>4</v>
      </c>
      <c r="I11" s="3" t="n">
        <v>7</v>
      </c>
      <c r="J11" s="3" t="n">
        <v>8</v>
      </c>
      <c r="K11" s="3" t="n">
        <v>7</v>
      </c>
      <c r="L11" s="3" t="n">
        <v>5</v>
      </c>
      <c r="M11" s="5" t="n">
        <f aca="false">ROUND(((G11*30)+((11-H11)*25)+(I11*20)+(J11*10)+(K11*10)+((11-L11)*5))/10,0)</f>
        <v>71</v>
      </c>
      <c r="N11" s="6" t="s">
        <v>33</v>
      </c>
      <c r="O11" s="6" t="s">
        <v>34</v>
      </c>
      <c r="P11" s="3" t="s">
        <v>58</v>
      </c>
      <c r="Q11" s="3" t="s">
        <v>59</v>
      </c>
      <c r="R11" s="3" t="s">
        <v>104</v>
      </c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5" t="n">
        <f aca="false">ROUND(((G12*30)+((11-H12)*25)+(I12*20)+(J12*10)+(K12*10)+((11-L12)*5))/10,0)</f>
        <v>33</v>
      </c>
      <c r="N12" s="6"/>
      <c r="O12" s="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5" t="n">
        <f aca="false">ROUND(((G13*30)+((11-H13)*25)+(I13*20)+(J13*10)+(K13*10)+((11-L13)*5))/10,0)</f>
        <v>33</v>
      </c>
      <c r="N13" s="6"/>
      <c r="O13" s="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5" t="n">
        <f aca="false">ROUND(((G14*30)+((11-H14)*25)+(I14*20)+(J14*10)+(K14*10)+((11-L14)*5))/10,0)</f>
        <v>33</v>
      </c>
      <c r="N14" s="6"/>
      <c r="O14" s="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5" t="n">
        <f aca="false">ROUND(((G15*30)+((11-H15)*25)+(I15*20)+(J15*10)+(K15*10)+((11-L15)*5))/10,0)</f>
        <v>33</v>
      </c>
      <c r="N15" s="6"/>
      <c r="O15" s="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5" t="n">
        <f aca="false">ROUND(((G16*30)+((11-H16)*25)+(I16*20)+(J16*10)+(K16*10)+((11-L16)*5))/10,0)</f>
        <v>33</v>
      </c>
      <c r="N16" s="6"/>
      <c r="O16" s="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5" t="n">
        <f aca="false">ROUND(((G17*30)+((11-H17)*25)+(I17*20)+(J17*10)+(K17*10)+((11-L17)*5))/10,0)</f>
        <v>33</v>
      </c>
      <c r="N17" s="6"/>
      <c r="O17" s="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5" t="n">
        <f aca="false">ROUND(((G18*30)+((11-H18)*25)+(I18*20)+(J18*10)+(K18*10)+((11-L18)*5))/10,0)</f>
        <v>33</v>
      </c>
      <c r="N18" s="6"/>
      <c r="O18" s="6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5" t="n">
        <f aca="false">ROUND(((G19*30)+((11-H19)*25)+(I19*20)+(J19*10)+(K19*10)+((11-L19)*5))/10,0)</f>
        <v>33</v>
      </c>
      <c r="N19" s="6"/>
      <c r="O19" s="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5" t="n">
        <f aca="false">ROUND(((G20*30)+((11-H20)*25)+(I20*20)+(J20*10)+(K20*10)+((11-L20)*5))/10,0)</f>
        <v>33</v>
      </c>
      <c r="N20" s="6"/>
      <c r="O20" s="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5" t="n">
        <f aca="false">ROUND(((G21*30)+((11-H21)*25)+(I21*20)+(J21*10)+(K21*10)+((11-L21)*5))/10,0)</f>
        <v>33</v>
      </c>
      <c r="N21" s="6"/>
      <c r="O21" s="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5" t="n">
        <f aca="false">ROUND(((G22*30)+((11-H22)*25)+(I22*20)+(J22*10)+(K22*10)+((11-L22)*5))/10,0)</f>
        <v>33</v>
      </c>
      <c r="N22" s="6"/>
      <c r="O22" s="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5" t="n">
        <f aca="false">ROUND(((G23*30)+((11-H23)*25)+(I23*20)+(J23*10)+(K23*10)+((11-L23)*5))/10,0)</f>
        <v>33</v>
      </c>
      <c r="N23" s="6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5" t="n">
        <f aca="false">ROUND(((G24*30)+((11-H24)*25)+(I24*20)+(J24*10)+(K24*10)+((11-L24)*5))/10,0)</f>
        <v>33</v>
      </c>
      <c r="N24" s="6"/>
      <c r="O24" s="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5" t="n">
        <f aca="false">ROUND(((G25*30)+((11-H25)*25)+(I25*20)+(J25*10)+(K25*10)+((11-L25)*5))/10,0)</f>
        <v>33</v>
      </c>
      <c r="N25" s="6"/>
      <c r="O25" s="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5" t="n">
        <f aca="false">ROUND(((G26*30)+((11-H26)*25)+(I26*20)+(J26*10)+(K26*10)+((11-L26)*5))/10,0)</f>
        <v>33</v>
      </c>
      <c r="N26" s="6"/>
      <c r="O26" s="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5" t="n">
        <f aca="false">ROUND(((G27*30)+((11-H27)*25)+(I27*20)+(J27*10)+(K27*10)+((11-L27)*5))/10,0)</f>
        <v>33</v>
      </c>
      <c r="N27" s="6"/>
      <c r="O27" s="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5" t="n">
        <f aca="false">ROUND(((G28*30)+((11-H28)*25)+(I28*20)+(J28*10)+(K28*10)+((11-L28)*5))/10,0)</f>
        <v>33</v>
      </c>
      <c r="N28" s="6"/>
      <c r="O28" s="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5" t="n">
        <f aca="false">ROUND(((G29*30)+((11-H29)*25)+(I29*20)+(J29*10)+(K29*10)+((11-L29)*5))/10,0)</f>
        <v>33</v>
      </c>
      <c r="N29" s="6"/>
      <c r="O29" s="6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5" t="n">
        <f aca="false">ROUND(((G30*30)+((11-H30)*25)+(I30*20)+(J30*10)+(K30*10)+((11-L30)*5))/10,0)</f>
        <v>33</v>
      </c>
      <c r="N30" s="6"/>
      <c r="O30" s="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5" t="n">
        <f aca="false">ROUND(((G31*30)+((11-H31)*25)+(I31*20)+(J31*10)+(K31*10)+((11-L31)*5))/10,0)</f>
        <v>33</v>
      </c>
      <c r="N31" s="6"/>
      <c r="O31" s="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5" t="n">
        <f aca="false">ROUND(((G32*30)+((11-H32)*25)+(I32*20)+(J32*10)+(K32*10)+((11-L32)*5))/10,0)</f>
        <v>33</v>
      </c>
      <c r="N32" s="6"/>
      <c r="O32" s="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5" t="n">
        <f aca="false">ROUND(((G33*30)+((11-H33)*25)+(I33*20)+(J33*10)+(K33*10)+((11-L33)*5))/10,0)</f>
        <v>33</v>
      </c>
      <c r="N33" s="6"/>
      <c r="O33" s="6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5" t="n">
        <f aca="false">ROUND(((G34*30)+((11-H34)*25)+(I34*20)+(J34*10)+(K34*10)+((11-L34)*5))/10,0)</f>
        <v>33</v>
      </c>
      <c r="N34" s="6"/>
      <c r="O34" s="6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5" t="n">
        <f aca="false">ROUND(((G35*30)+((11-H35)*25)+(I35*20)+(J35*10)+(K35*10)+((11-L35)*5))/10,0)</f>
        <v>33</v>
      </c>
      <c r="N35" s="6"/>
      <c r="O35" s="6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5" t="n">
        <f aca="false">ROUND(((G36*30)+((11-H36)*25)+(I36*20)+(J36*10)+(K36*10)+((11-L36)*5))/10,0)</f>
        <v>33</v>
      </c>
      <c r="N36" s="6"/>
      <c r="O36" s="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5" t="n">
        <f aca="false">ROUND(((G37*30)+((11-H37)*25)+(I37*20)+(J37*10)+(K37*10)+((11-L37)*5))/10,0)</f>
        <v>33</v>
      </c>
      <c r="N37" s="6"/>
      <c r="O37" s="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5" t="n">
        <f aca="false">ROUND(((G38*30)+((11-H38)*25)+(I38*20)+(J38*10)+(K38*10)+((11-L38)*5))/10,0)</f>
        <v>33</v>
      </c>
      <c r="N38" s="6"/>
      <c r="O38" s="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5" t="n">
        <f aca="false">ROUND(((G39*30)+((11-H39)*25)+(I39*20)+(J39*10)+(K39*10)+((11-L39)*5))/10,0)</f>
        <v>33</v>
      </c>
      <c r="N39" s="6"/>
      <c r="O39" s="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5" t="n">
        <f aca="false">ROUND(((G40*30)+((11-H40)*25)+(I40*20)+(J40*10)+(K40*10)+((11-L40)*5))/10,0)</f>
        <v>33</v>
      </c>
      <c r="N40" s="6"/>
      <c r="O40" s="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5" t="n">
        <f aca="false">ROUND(((G41*30)+((11-H41)*25)+(I41*20)+(J41*10)+(K41*10)+((11-L41)*5))/10,0)</f>
        <v>33</v>
      </c>
      <c r="N41" s="6"/>
      <c r="O41" s="6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5" t="n">
        <f aca="false">ROUND(((G42*30)+((11-H42)*25)+(I42*20)+(J42*10)+(K42*10)+((11-L42)*5))/10,0)</f>
        <v>33</v>
      </c>
      <c r="N42" s="6"/>
      <c r="O42" s="6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5" t="n">
        <f aca="false">ROUND(((G43*30)+((11-H43)*25)+(I43*20)+(J43*10)+(K43*10)+((11-L43)*5))/10,0)</f>
        <v>33</v>
      </c>
      <c r="N43" s="6"/>
      <c r="O43" s="6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5" t="n">
        <f aca="false">ROUND(((G44*30)+((11-H44)*25)+(I44*20)+(J44*10)+(K44*10)+((11-L44)*5))/10,0)</f>
        <v>33</v>
      </c>
      <c r="N44" s="6"/>
      <c r="O44" s="6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5" t="n">
        <f aca="false">ROUND(((G45*30)+((11-H45)*25)+(I45*20)+(J45*10)+(K45*10)+((11-L45)*5))/10,0)</f>
        <v>33</v>
      </c>
      <c r="N45" s="6"/>
      <c r="O45" s="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5" t="n">
        <f aca="false">ROUND(((G46*30)+((11-H46)*25)+(I46*20)+(J46*10)+(K46*10)+((11-L46)*5))/10,0)</f>
        <v>33</v>
      </c>
      <c r="N46" s="6"/>
      <c r="O46" s="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5" t="n">
        <f aca="false">ROUND(((G47*30)+((11-H47)*25)+(I47*20)+(J47*10)+(K47*10)+((11-L47)*5))/10,0)</f>
        <v>33</v>
      </c>
      <c r="N47" s="6"/>
      <c r="O47" s="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5" t="n">
        <f aca="false">ROUND(((G48*30)+((11-H48)*25)+(I48*20)+(J48*10)+(K48*10)+((11-L48)*5))/10,0)</f>
        <v>33</v>
      </c>
      <c r="N48" s="6"/>
      <c r="O48" s="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5" t="n">
        <f aca="false">ROUND(((G49*30)+((11-H49)*25)+(I49*20)+(J49*10)+(K49*10)+((11-L49)*5))/10,0)</f>
        <v>33</v>
      </c>
      <c r="N49" s="6"/>
      <c r="O49" s="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5" t="n">
        <f aca="false">ROUND(((G50*30)+((11-H50)*25)+(I50*20)+(J50*10)+(K50*10)+((11-L50)*5))/10,0)</f>
        <v>33</v>
      </c>
      <c r="N50" s="6"/>
      <c r="O50" s="6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5" t="n">
        <f aca="false">ROUND(((G51*30)+((11-H51)*25)+(I51*20)+(J51*10)+(K51*10)+((11-L51)*5))/10,0)</f>
        <v>33</v>
      </c>
      <c r="N51" s="6"/>
      <c r="O51" s="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5" t="n">
        <f aca="false">ROUND(((G52*30)+((11-H52)*25)+(I52*20)+(J52*10)+(K52*10)+((11-L52)*5))/10,0)</f>
        <v>33</v>
      </c>
      <c r="N52" s="6"/>
      <c r="O52" s="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5" t="n">
        <f aca="false">ROUND(((G53*30)+((11-H53)*25)+(I53*20)+(J53*10)+(K53*10)+((11-L53)*5))/10,0)</f>
        <v>33</v>
      </c>
      <c r="N53" s="6"/>
      <c r="O53" s="6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5" t="n">
        <f aca="false">ROUND(((G54*30)+((11-H54)*25)+(I54*20)+(J54*10)+(K54*10)+((11-L54)*5))/10,0)</f>
        <v>33</v>
      </c>
      <c r="N54" s="6"/>
      <c r="O54" s="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5" t="n">
        <f aca="false">ROUND(((G55*30)+((11-H55)*25)+(I55*20)+(J55*10)+(K55*10)+((11-L55)*5))/10,0)</f>
        <v>33</v>
      </c>
      <c r="N55" s="6"/>
      <c r="O55" s="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5" t="n">
        <f aca="false">ROUND(((G56*30)+((11-H56)*25)+(I56*20)+(J56*10)+(K56*10)+((11-L56)*5))/10,0)</f>
        <v>33</v>
      </c>
      <c r="N56" s="6"/>
      <c r="O56" s="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5" t="n">
        <f aca="false">ROUND(((G57*30)+((11-H57)*25)+(I57*20)+(J57*10)+(K57*10)+((11-L57)*5))/10,0)</f>
        <v>33</v>
      </c>
      <c r="N57" s="6"/>
      <c r="O57" s="6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5" t="n">
        <f aca="false">ROUND(((G58*30)+((11-H58)*25)+(I58*20)+(J58*10)+(K58*10)+((11-L58)*5))/10,0)</f>
        <v>33</v>
      </c>
      <c r="N58" s="6"/>
      <c r="O58" s="6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5" t="n">
        <f aca="false">ROUND(((G59*30)+((11-H59)*25)+(I59*20)+(J59*10)+(K59*10)+((11-L59)*5))/10,0)</f>
        <v>33</v>
      </c>
      <c r="N59" s="6"/>
      <c r="O59" s="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5" t="n">
        <f aca="false">ROUND(((G60*30)+((11-H60)*25)+(I60*20)+(J60*10)+(K60*10)+((11-L60)*5))/10,0)</f>
        <v>33</v>
      </c>
      <c r="N60" s="6"/>
      <c r="O60" s="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5" t="n">
        <f aca="false">ROUND(((G61*30)+((11-H61)*25)+(I61*20)+(J61*10)+(K61*10)+((11-L61)*5))/10,0)</f>
        <v>33</v>
      </c>
      <c r="N61" s="6"/>
      <c r="O61" s="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5" t="n">
        <f aca="false">ROUND(((G62*30)+((11-H62)*25)+(I62*20)+(J62*10)+(K62*10)+((11-L62)*5))/10,0)</f>
        <v>33</v>
      </c>
      <c r="N62" s="6"/>
      <c r="O62" s="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5" t="n">
        <f aca="false">ROUND(((G63*30)+((11-H63)*25)+(I63*20)+(J63*10)+(K63*10)+((11-L63)*5))/10,0)</f>
        <v>33</v>
      </c>
      <c r="N63" s="6"/>
      <c r="O63" s="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5" t="n">
        <f aca="false">ROUND(((G64*30)+((11-H64)*25)+(I64*20)+(J64*10)+(K64*10)+((11-L64)*5))/10,0)</f>
        <v>33</v>
      </c>
      <c r="N64" s="6"/>
      <c r="O64" s="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5" t="n">
        <f aca="false">ROUND(((G65*30)+((11-H65)*25)+(I65*20)+(J65*10)+(K65*10)+((11-L65)*5))/10,0)</f>
        <v>33</v>
      </c>
      <c r="N65" s="6"/>
      <c r="O65" s="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5" t="n">
        <f aca="false">ROUND(((G66*30)+((11-H66)*25)+(I66*20)+(J66*10)+(K66*10)+((11-L66)*5))/10,0)</f>
        <v>33</v>
      </c>
      <c r="N66" s="6"/>
      <c r="O66" s="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5" t="n">
        <f aca="false">ROUND(((G67*30)+((11-H67)*25)+(I67*20)+(J67*10)+(K67*10)+((11-L67)*5))/10,0)</f>
        <v>33</v>
      </c>
      <c r="N67" s="6"/>
      <c r="O67" s="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5" t="n">
        <f aca="false">ROUND(((G68*30)+((11-H68)*25)+(I68*20)+(J68*10)+(K68*10)+((11-L68)*5))/10,0)</f>
        <v>33</v>
      </c>
      <c r="N68" s="6"/>
      <c r="O68" s="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5" t="n">
        <f aca="false">ROUND(((G69*30)+((11-H69)*25)+(I69*20)+(J69*10)+(K69*10)+((11-L69)*5))/10,0)</f>
        <v>33</v>
      </c>
      <c r="N69" s="6"/>
      <c r="O69" s="6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5" t="n">
        <f aca="false">ROUND(((G70*30)+((11-H70)*25)+(I70*20)+(J70*10)+(K70*10)+((11-L70)*5))/10,0)</f>
        <v>33</v>
      </c>
      <c r="N70" s="6"/>
      <c r="O70" s="6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5" t="n">
        <f aca="false">ROUND(((G71*30)+((11-H71)*25)+(I71*20)+(J71*10)+(K71*10)+((11-L71)*5))/10,0)</f>
        <v>33</v>
      </c>
      <c r="N71" s="6"/>
      <c r="O71" s="6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5" t="n">
        <f aca="false">ROUND(((G72*30)+((11-H72)*25)+(I72*20)+(J72*10)+(K72*10)+((11-L72)*5))/10,0)</f>
        <v>33</v>
      </c>
      <c r="N72" s="6"/>
      <c r="O72" s="6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5" t="n">
        <f aca="false">ROUND(((G73*30)+((11-H73)*25)+(I73*20)+(J73*10)+(K73*10)+((11-L73)*5))/10,0)</f>
        <v>33</v>
      </c>
      <c r="N73" s="6"/>
      <c r="O73" s="6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5" t="n">
        <f aca="false">ROUND(((G74*30)+((11-H74)*25)+(I74*20)+(J74*10)+(K74*10)+((11-L74)*5))/10,0)</f>
        <v>33</v>
      </c>
      <c r="N74" s="6"/>
      <c r="O74" s="6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5" t="n">
        <f aca="false">ROUND(((G75*30)+((11-H75)*25)+(I75*20)+(J75*10)+(K75*10)+((11-L75)*5))/10,0)</f>
        <v>33</v>
      </c>
      <c r="N75" s="6"/>
      <c r="O75" s="6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5" t="n">
        <f aca="false">ROUND(((G76*30)+((11-H76)*25)+(I76*20)+(J76*10)+(K76*10)+((11-L76)*5))/10,0)</f>
        <v>33</v>
      </c>
      <c r="N76" s="6"/>
      <c r="O76" s="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5" t="n">
        <f aca="false">ROUND(((G77*30)+((11-H77)*25)+(I77*20)+(J77*10)+(K77*10)+((11-L77)*5))/10,0)</f>
        <v>33</v>
      </c>
      <c r="N77" s="6"/>
      <c r="O77" s="6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5" t="n">
        <f aca="false">ROUND(((G78*30)+((11-H78)*25)+(I78*20)+(J78*10)+(K78*10)+((11-L78)*5))/10,0)</f>
        <v>33</v>
      </c>
      <c r="N78" s="6"/>
      <c r="O78" s="6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5" t="n">
        <f aca="false">ROUND(((G79*30)+((11-H79)*25)+(I79*20)+(J79*10)+(K79*10)+((11-L79)*5))/10,0)</f>
        <v>33</v>
      </c>
      <c r="N79" s="6"/>
      <c r="O79" s="6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5" t="n">
        <f aca="false">ROUND(((G80*30)+((11-H80)*25)+(I80*20)+(J80*10)+(K80*10)+((11-L80)*5))/10,0)</f>
        <v>33</v>
      </c>
      <c r="N80" s="6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5" t="n">
        <f aca="false">ROUND(((G81*30)+((11-H81)*25)+(I81*20)+(J81*10)+(K81*10)+((11-L81)*5))/10,0)</f>
        <v>33</v>
      </c>
      <c r="N81" s="6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5" t="n">
        <f aca="false">ROUND(((G82*30)+((11-H82)*25)+(I82*20)+(J82*10)+(K82*10)+((11-L82)*5))/10,0)</f>
        <v>33</v>
      </c>
      <c r="N82" s="6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5" t="n">
        <f aca="false">ROUND(((G83*30)+((11-H83)*25)+(I83*20)+(J83*10)+(K83*10)+((11-L83)*5))/10,0)</f>
        <v>33</v>
      </c>
      <c r="N83" s="6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5" t="n">
        <f aca="false">ROUND(((G84*30)+((11-H84)*25)+(I84*20)+(J84*10)+(K84*10)+((11-L84)*5))/10,0)</f>
        <v>33</v>
      </c>
      <c r="N84" s="6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5" t="n">
        <f aca="false">ROUND(((G85*30)+((11-H85)*25)+(I85*20)+(J85*10)+(K85*10)+((11-L85)*5))/10,0)</f>
        <v>33</v>
      </c>
      <c r="N85" s="6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5" t="n">
        <f aca="false">ROUND(((G86*30)+((11-H86)*25)+(I86*20)+(J86*10)+(K86*10)+((11-L86)*5))/10,0)</f>
        <v>33</v>
      </c>
      <c r="N86" s="6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5" t="n">
        <f aca="false">ROUND(((G87*30)+((11-H87)*25)+(I87*20)+(J87*10)+(K87*10)+((11-L87)*5))/10,0)</f>
        <v>33</v>
      </c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5" t="n">
        <f aca="false">ROUND(((G88*30)+((11-H88)*25)+(I88*20)+(J88*10)+(K88*10)+((11-L88)*5))/10,0)</f>
        <v>33</v>
      </c>
      <c r="N88" s="6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5" t="n">
        <f aca="false">ROUND(((G89*30)+((11-H89)*25)+(I89*20)+(J89*10)+(K89*10)+((11-L89)*5))/10,0)</f>
        <v>33</v>
      </c>
      <c r="N89" s="6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5" t="n">
        <f aca="false">ROUND(((G90*30)+((11-H90)*25)+(I90*20)+(J90*10)+(K90*10)+((11-L90)*5))/10,0)</f>
        <v>33</v>
      </c>
      <c r="N90" s="6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5" t="n">
        <f aca="false">ROUND(((G91*30)+((11-H91)*25)+(I91*20)+(J91*10)+(K91*10)+((11-L91)*5))/10,0)</f>
        <v>33</v>
      </c>
      <c r="N91" s="6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5" t="n">
        <f aca="false">ROUND(((G92*30)+((11-H92)*25)+(I92*20)+(J92*10)+(K92*10)+((11-L92)*5))/10,0)</f>
        <v>33</v>
      </c>
      <c r="N92" s="6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5" t="n">
        <f aca="false">ROUND(((G93*30)+((11-H93)*25)+(I93*20)+(J93*10)+(K93*10)+((11-L93)*5))/10,0)</f>
        <v>33</v>
      </c>
      <c r="N93" s="6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5" t="n">
        <f aca="false">ROUND(((G94*30)+((11-H94)*25)+(I94*20)+(J94*10)+(K94*10)+((11-L94)*5))/10,0)</f>
        <v>33</v>
      </c>
      <c r="N94" s="6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5" t="n">
        <f aca="false">ROUND(((G95*30)+((11-H95)*25)+(I95*20)+(J95*10)+(K95*10)+((11-L95)*5))/10,0)</f>
        <v>33</v>
      </c>
      <c r="N95" s="6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5" t="n">
        <f aca="false">ROUND(((G96*30)+((11-H96)*25)+(I96*20)+(J96*10)+(K96*10)+((11-L96)*5))/10,0)</f>
        <v>33</v>
      </c>
      <c r="N96" s="6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5" t="n">
        <f aca="false">ROUND(((G97*30)+((11-H97)*25)+(I97*20)+(J97*10)+(K97*10)+((11-L97)*5))/10,0)</f>
        <v>33</v>
      </c>
      <c r="N97" s="6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5" t="n">
        <f aca="false">ROUND(((G98*30)+((11-H98)*25)+(I98*20)+(J98*10)+(K98*10)+((11-L98)*5))/10,0)</f>
        <v>33</v>
      </c>
      <c r="N98" s="6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5" t="n">
        <f aca="false">ROUND(((G99*30)+((11-H99)*25)+(I99*20)+(J99*10)+(K99*10)+((11-L99)*5))/10,0)</f>
        <v>33</v>
      </c>
      <c r="N99" s="6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5" t="n">
        <f aca="false">ROUND(((G100*30)+((11-H100)*25)+(I100*20)+(J100*10)+(K100*10)+((11-L100)*5))/10,0)</f>
        <v>33</v>
      </c>
      <c r="N100" s="6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5" t="n">
        <f aca="false">ROUND(((G101*30)+((11-H101)*25)+(I101*20)+(J101*10)+(K101*10)+((11-L101)*5))/10,0)</f>
        <v>33</v>
      </c>
      <c r="N101" s="6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5" t="n">
        <f aca="false">ROUND(((G102*30)+((11-H102)*25)+(I102*20)+(J102*10)+(K102*10)+((11-L102)*5))/10,0)</f>
        <v>33</v>
      </c>
      <c r="N102" s="6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5" t="n">
        <f aca="false">ROUND(((G103*30)+((11-H103)*25)+(I103*20)+(J103*10)+(K103*10)+((11-L103)*5))/10,0)</f>
        <v>33</v>
      </c>
      <c r="N103" s="6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5" t="n">
        <f aca="false">ROUND(((G104*30)+((11-H104)*25)+(I104*20)+(J104*10)+(K104*10)+((11-L104)*5))/10,0)</f>
        <v>33</v>
      </c>
      <c r="N104" s="6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5" t="n">
        <f aca="false">ROUND(((G105*30)+((11-H105)*25)+(I105*20)+(J105*10)+(K105*10)+((11-L105)*5))/10,0)</f>
        <v>33</v>
      </c>
      <c r="N105" s="6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5" t="n">
        <f aca="false">ROUND(((G106*30)+((11-H106)*25)+(I106*20)+(J106*10)+(K106*10)+((11-L106)*5))/10,0)</f>
        <v>33</v>
      </c>
      <c r="N106" s="6"/>
      <c r="O106" s="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5" t="n">
        <f aca="false">ROUND(((G107*30)+((11-H107)*25)+(I107*20)+(J107*10)+(K107*10)+((11-L107)*5))/10,0)</f>
        <v>33</v>
      </c>
      <c r="N107" s="6"/>
      <c r="O107" s="6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5" t="n">
        <f aca="false">ROUND(((G108*30)+((11-H108)*25)+(I108*20)+(J108*10)+(K108*10)+((11-L108)*5))/10,0)</f>
        <v>33</v>
      </c>
      <c r="N108" s="6"/>
      <c r="O108" s="6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5" t="n">
        <f aca="false">ROUND(((G109*30)+((11-H109)*25)+(I109*20)+(J109*10)+(K109*10)+((11-L109)*5))/10,0)</f>
        <v>33</v>
      </c>
      <c r="N109" s="6"/>
      <c r="O109" s="6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5" t="n">
        <f aca="false">ROUND(((G110*30)+((11-H110)*25)+(I110*20)+(J110*10)+(K110*10)+((11-L110)*5))/10,0)</f>
        <v>33</v>
      </c>
      <c r="N110" s="6"/>
      <c r="O110" s="6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5" t="n">
        <f aca="false">ROUND(((G111*30)+((11-H111)*25)+(I111*20)+(J111*10)+(K111*10)+((11-L111)*5))/10,0)</f>
        <v>33</v>
      </c>
      <c r="N111" s="6"/>
      <c r="O111" s="6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5" t="n">
        <f aca="false">ROUND(((G112*30)+((11-H112)*25)+(I112*20)+(J112*10)+(K112*10)+((11-L112)*5))/10,0)</f>
        <v>33</v>
      </c>
      <c r="N112" s="6"/>
      <c r="O112" s="6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5" t="n">
        <f aca="false">ROUND(((G113*30)+((11-H113)*25)+(I113*20)+(J113*10)+(K113*10)+((11-L113)*5))/10,0)</f>
        <v>33</v>
      </c>
      <c r="N113" s="6"/>
      <c r="O113" s="6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5" t="n">
        <f aca="false">ROUND(((G114*30)+((11-H114)*25)+(I114*20)+(J114*10)+(K114*10)+((11-L114)*5))/10,0)</f>
        <v>33</v>
      </c>
      <c r="N114" s="6"/>
      <c r="O114" s="6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5" t="n">
        <f aca="false">ROUND(((G115*30)+((11-H115)*25)+(I115*20)+(J115*10)+(K115*10)+((11-L115)*5))/10,0)</f>
        <v>33</v>
      </c>
      <c r="N115" s="6"/>
      <c r="O115" s="6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5" t="n">
        <f aca="false">ROUND(((G116*30)+((11-H116)*25)+(I116*20)+(J116*10)+(K116*10)+((11-L116)*5))/10,0)</f>
        <v>33</v>
      </c>
      <c r="N116" s="6"/>
      <c r="O116" s="6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5" t="n">
        <f aca="false">ROUND(((G117*30)+((11-H117)*25)+(I117*20)+(J117*10)+(K117*10)+((11-L117)*5))/10,0)</f>
        <v>33</v>
      </c>
      <c r="N117" s="6"/>
      <c r="O117" s="6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5" t="n">
        <f aca="false">ROUND(((G118*30)+((11-H118)*25)+(I118*20)+(J118*10)+(K118*10)+((11-L118)*5))/10,0)</f>
        <v>33</v>
      </c>
      <c r="N118" s="6"/>
      <c r="O118" s="6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5" t="n">
        <f aca="false">ROUND(((G119*30)+((11-H119)*25)+(I119*20)+(J119*10)+(K119*10)+((11-L119)*5))/10,0)</f>
        <v>33</v>
      </c>
      <c r="N119" s="6"/>
      <c r="O119" s="6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5" t="n">
        <f aca="false">ROUND(((G120*30)+((11-H120)*25)+(I120*20)+(J120*10)+(K120*10)+((11-L120)*5))/10,0)</f>
        <v>33</v>
      </c>
      <c r="N120" s="6"/>
      <c r="O120" s="6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5" t="n">
        <f aca="false">ROUND(((G121*30)+((11-H121)*25)+(I121*20)+(J121*10)+(K121*10)+((11-L121)*5))/10,0)</f>
        <v>33</v>
      </c>
      <c r="N121" s="6"/>
      <c r="O121" s="6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5" t="n">
        <f aca="false">ROUND(((G122*30)+((11-H122)*25)+(I122*20)+(J122*10)+(K122*10)+((11-L122)*5))/10,0)</f>
        <v>33</v>
      </c>
      <c r="N122" s="6"/>
      <c r="O122" s="6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5" t="n">
        <f aca="false">ROUND(((G123*30)+((11-H123)*25)+(I123*20)+(J123*10)+(K123*10)+((11-L123)*5))/10,0)</f>
        <v>33</v>
      </c>
      <c r="N123" s="6"/>
      <c r="O123" s="6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5" t="n">
        <f aca="false">ROUND(((G124*30)+((11-H124)*25)+(I124*20)+(J124*10)+(K124*10)+((11-L124)*5))/10,0)</f>
        <v>33</v>
      </c>
      <c r="N124" s="6"/>
      <c r="O124" s="6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5" t="n">
        <f aca="false">ROUND(((G125*30)+((11-H125)*25)+(I125*20)+(J125*10)+(K125*10)+((11-L125)*5))/10,0)</f>
        <v>33</v>
      </c>
      <c r="N125" s="6"/>
      <c r="O125" s="6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5" t="n">
        <f aca="false">ROUND(((G126*30)+((11-H126)*25)+(I126*20)+(J126*10)+(K126*10)+((11-L126)*5))/10,0)</f>
        <v>33</v>
      </c>
      <c r="N126" s="6"/>
      <c r="O126" s="6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5" t="n">
        <f aca="false">ROUND(((G127*30)+((11-H127)*25)+(I127*20)+(J127*10)+(K127*10)+((11-L127)*5))/10,0)</f>
        <v>33</v>
      </c>
      <c r="N127" s="6"/>
      <c r="O127" s="6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5" t="n">
        <f aca="false">ROUND(((G128*30)+((11-H128)*25)+(I128*20)+(J128*10)+(K128*10)+((11-L128)*5))/10,0)</f>
        <v>33</v>
      </c>
      <c r="N128" s="6"/>
      <c r="O128" s="6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5" t="n">
        <f aca="false">ROUND(((G129*30)+((11-H129)*25)+(I129*20)+(J129*10)+(K129*10)+((11-L129)*5))/10,0)</f>
        <v>33</v>
      </c>
      <c r="N129" s="6"/>
      <c r="O129" s="6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5" t="n">
        <f aca="false">ROUND(((G130*30)+((11-H130)*25)+(I130*20)+(J130*10)+(K130*10)+((11-L130)*5))/10,0)</f>
        <v>33</v>
      </c>
      <c r="N130" s="6"/>
      <c r="O130" s="6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5" t="n">
        <f aca="false">ROUND(((G131*30)+((11-H131)*25)+(I131*20)+(J131*10)+(K131*10)+((11-L131)*5))/10,0)</f>
        <v>33</v>
      </c>
      <c r="N131" s="6"/>
      <c r="O131" s="6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5" t="n">
        <f aca="false">ROUND(((G132*30)+((11-H132)*25)+(I132*20)+(J132*10)+(K132*10)+((11-L132)*5))/10,0)</f>
        <v>33</v>
      </c>
      <c r="N132" s="6"/>
      <c r="O132" s="6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5" t="n">
        <f aca="false">ROUND(((G133*30)+((11-H133)*25)+(I133*20)+(J133*10)+(K133*10)+((11-L133)*5))/10,0)</f>
        <v>33</v>
      </c>
      <c r="N133" s="6"/>
      <c r="O133" s="6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5" t="n">
        <f aca="false">ROUND(((G134*30)+((11-H134)*25)+(I134*20)+(J134*10)+(K134*10)+((11-L134)*5))/10,0)</f>
        <v>33</v>
      </c>
      <c r="N134" s="6"/>
      <c r="O134" s="6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5" t="n">
        <f aca="false">ROUND(((G135*30)+((11-H135)*25)+(I135*20)+(J135*10)+(K135*10)+((11-L135)*5))/10,0)</f>
        <v>33</v>
      </c>
      <c r="N135" s="6"/>
      <c r="O135" s="6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5" t="n">
        <f aca="false">ROUND(((G136*30)+((11-H136)*25)+(I136*20)+(J136*10)+(K136*10)+((11-L136)*5))/10,0)</f>
        <v>33</v>
      </c>
      <c r="N136" s="6"/>
      <c r="O136" s="6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5" t="n">
        <f aca="false">ROUND(((G137*30)+((11-H137)*25)+(I137*20)+(J137*10)+(K137*10)+((11-L137)*5))/10,0)</f>
        <v>33</v>
      </c>
      <c r="N137" s="6"/>
      <c r="O137" s="6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5" t="n">
        <f aca="false">ROUND(((G138*30)+((11-H138)*25)+(I138*20)+(J138*10)+(K138*10)+((11-L138)*5))/10,0)</f>
        <v>33</v>
      </c>
      <c r="N138" s="6"/>
      <c r="O138" s="6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5" t="n">
        <f aca="false">ROUND(((G139*30)+((11-H139)*25)+(I139*20)+(J139*10)+(K139*10)+((11-L139)*5))/10,0)</f>
        <v>33</v>
      </c>
      <c r="N139" s="6"/>
      <c r="O139" s="6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5" t="n">
        <f aca="false">ROUND(((G140*30)+((11-H140)*25)+(I140*20)+(J140*10)+(K140*10)+((11-L140)*5))/10,0)</f>
        <v>33</v>
      </c>
      <c r="N140" s="6"/>
      <c r="O140" s="6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5" t="n">
        <f aca="false">ROUND(((G141*30)+((11-H141)*25)+(I141*20)+(J141*10)+(K141*10)+((11-L141)*5))/10,0)</f>
        <v>33</v>
      </c>
      <c r="N141" s="6"/>
      <c r="O141" s="6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5" t="n">
        <f aca="false">ROUND(((G142*30)+((11-H142)*25)+(I142*20)+(J142*10)+(K142*10)+((11-L142)*5))/10,0)</f>
        <v>33</v>
      </c>
      <c r="N142" s="6"/>
      <c r="O142" s="6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5" t="n">
        <f aca="false">ROUND(((G143*30)+((11-H143)*25)+(I143*20)+(J143*10)+(K143*10)+((11-L143)*5))/10,0)</f>
        <v>33</v>
      </c>
      <c r="N143" s="6"/>
      <c r="O143" s="6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5" t="n">
        <f aca="false">ROUND(((G144*30)+((11-H144)*25)+(I144*20)+(J144*10)+(K144*10)+((11-L144)*5))/10,0)</f>
        <v>33</v>
      </c>
      <c r="N144" s="6"/>
      <c r="O144" s="6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5" t="n">
        <f aca="false">ROUND(((G145*30)+((11-H145)*25)+(I145*20)+(J145*10)+(K145*10)+((11-L145)*5))/10,0)</f>
        <v>33</v>
      </c>
      <c r="N145" s="6"/>
      <c r="O145" s="6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5" t="n">
        <f aca="false">ROUND(((G146*30)+((11-H146)*25)+(I146*20)+(J146*10)+(K146*10)+((11-L146)*5))/10,0)</f>
        <v>33</v>
      </c>
      <c r="N146" s="6"/>
      <c r="O146" s="6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5" t="n">
        <f aca="false">ROUND(((G147*30)+((11-H147)*25)+(I147*20)+(J147*10)+(K147*10)+((11-L147)*5))/10,0)</f>
        <v>33</v>
      </c>
      <c r="N147" s="6"/>
      <c r="O147" s="6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5" t="n">
        <f aca="false">ROUND(((G148*30)+((11-H148)*25)+(I148*20)+(J148*10)+(K148*10)+((11-L148)*5))/10,0)</f>
        <v>33</v>
      </c>
      <c r="N148" s="6"/>
      <c r="O148" s="6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5" t="n">
        <f aca="false">ROUND(((G149*30)+((11-H149)*25)+(I149*20)+(J149*10)+(K149*10)+((11-L149)*5))/10,0)</f>
        <v>33</v>
      </c>
      <c r="N149" s="6"/>
      <c r="O149" s="6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5" t="n">
        <f aca="false">ROUND(((G150*30)+((11-H150)*25)+(I150*20)+(J150*10)+(K150*10)+((11-L150)*5))/10,0)</f>
        <v>33</v>
      </c>
      <c r="N150" s="6"/>
      <c r="O150" s="6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5" t="n">
        <f aca="false">ROUND(((G151*30)+((11-H151)*25)+(I151*20)+(J151*10)+(K151*10)+((11-L151)*5))/10,0)</f>
        <v>33</v>
      </c>
      <c r="N151" s="6"/>
      <c r="O151" s="6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5" t="n">
        <f aca="false">ROUND(((G152*30)+((11-H152)*25)+(I152*20)+(J152*10)+(K152*10)+((11-L152)*5))/10,0)</f>
        <v>33</v>
      </c>
      <c r="N152" s="6"/>
      <c r="O152" s="6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5" t="n">
        <f aca="false">ROUND(((G153*30)+((11-H153)*25)+(I153*20)+(J153*10)+(K153*10)+((11-L153)*5))/10,0)</f>
        <v>33</v>
      </c>
      <c r="N153" s="6"/>
      <c r="O153" s="6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5" t="n">
        <f aca="false">ROUND(((G154*30)+((11-H154)*25)+(I154*20)+(J154*10)+(K154*10)+((11-L154)*5))/10,0)</f>
        <v>33</v>
      </c>
      <c r="N154" s="6"/>
      <c r="O154" s="6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5" t="n">
        <f aca="false">ROUND(((G155*30)+((11-H155)*25)+(I155*20)+(J155*10)+(K155*10)+((11-L155)*5))/10,0)</f>
        <v>33</v>
      </c>
      <c r="N155" s="6"/>
      <c r="O155" s="6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5" t="n">
        <f aca="false">ROUND(((G156*30)+((11-H156)*25)+(I156*20)+(J156*10)+(K156*10)+((11-L156)*5))/10,0)</f>
        <v>33</v>
      </c>
      <c r="N156" s="6"/>
      <c r="O156" s="6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5" t="n">
        <f aca="false">ROUND(((G157*30)+((11-H157)*25)+(I157*20)+(J157*10)+(K157*10)+((11-L157)*5))/10,0)</f>
        <v>33</v>
      </c>
      <c r="N157" s="6"/>
      <c r="O157" s="6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5" t="n">
        <f aca="false">ROUND(((G158*30)+((11-H158)*25)+(I158*20)+(J158*10)+(K158*10)+((11-L158)*5))/10,0)</f>
        <v>33</v>
      </c>
      <c r="N158" s="6"/>
      <c r="O158" s="6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5" t="n">
        <f aca="false">ROUND(((G159*30)+((11-H159)*25)+(I159*20)+(J159*10)+(K159*10)+((11-L159)*5))/10,0)</f>
        <v>33</v>
      </c>
      <c r="N159" s="6"/>
      <c r="O159" s="6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5" t="n">
        <f aca="false">ROUND(((G160*30)+((11-H160)*25)+(I160*20)+(J160*10)+(K160*10)+((11-L160)*5))/10,0)</f>
        <v>33</v>
      </c>
      <c r="N160" s="6"/>
      <c r="O160" s="6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5" t="n">
        <f aca="false">ROUND(((G161*30)+((11-H161)*25)+(I161*20)+(J161*10)+(K161*10)+((11-L161)*5))/10,0)</f>
        <v>33</v>
      </c>
      <c r="N161" s="6"/>
      <c r="O161" s="6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5" t="n">
        <f aca="false">ROUND(((G162*30)+((11-H162)*25)+(I162*20)+(J162*10)+(K162*10)+((11-L162)*5))/10,0)</f>
        <v>33</v>
      </c>
      <c r="N162" s="6"/>
      <c r="O162" s="6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5" t="n">
        <f aca="false">ROUND(((G163*30)+((11-H163)*25)+(I163*20)+(J163*10)+(K163*10)+((11-L163)*5))/10,0)</f>
        <v>33</v>
      </c>
      <c r="N163" s="6"/>
      <c r="O163" s="6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5" t="n">
        <f aca="false">ROUND(((G164*30)+((11-H164)*25)+(I164*20)+(J164*10)+(K164*10)+((11-L164)*5))/10,0)</f>
        <v>33</v>
      </c>
      <c r="N164" s="6"/>
      <c r="O164" s="6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5" t="n">
        <f aca="false">ROUND(((G165*30)+((11-H165)*25)+(I165*20)+(J165*10)+(K165*10)+((11-L165)*5))/10,0)</f>
        <v>33</v>
      </c>
      <c r="N165" s="6"/>
      <c r="O165" s="6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5" t="n">
        <f aca="false">ROUND(((G166*30)+((11-H166)*25)+(I166*20)+(J166*10)+(K166*10)+((11-L166)*5))/10,0)</f>
        <v>33</v>
      </c>
      <c r="N166" s="6"/>
      <c r="O166" s="6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5" t="n">
        <f aca="false">ROUND(((G167*30)+((11-H167)*25)+(I167*20)+(J167*10)+(K167*10)+((11-L167)*5))/10,0)</f>
        <v>33</v>
      </c>
      <c r="N167" s="6"/>
      <c r="O167" s="6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5" t="n">
        <f aca="false">ROUND(((G168*30)+((11-H168)*25)+(I168*20)+(J168*10)+(K168*10)+((11-L168)*5))/10,0)</f>
        <v>33</v>
      </c>
      <c r="N168" s="6"/>
      <c r="O168" s="6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5" t="n">
        <f aca="false">ROUND(((G169*30)+((11-H169)*25)+(I169*20)+(J169*10)+(K169*10)+((11-L169)*5))/10,0)</f>
        <v>33</v>
      </c>
      <c r="N169" s="6"/>
      <c r="O169" s="6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5" t="n">
        <f aca="false">ROUND(((G170*30)+((11-H170)*25)+(I170*20)+(J170*10)+(K170*10)+((11-L170)*5))/10,0)</f>
        <v>33</v>
      </c>
      <c r="N170" s="6"/>
      <c r="O170" s="6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5" t="n">
        <f aca="false">ROUND(((G171*30)+((11-H171)*25)+(I171*20)+(J171*10)+(K171*10)+((11-L171)*5))/10,0)</f>
        <v>33</v>
      </c>
      <c r="N171" s="6"/>
      <c r="O171" s="6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5" t="n">
        <f aca="false">ROUND(((G172*30)+((11-H172)*25)+(I172*20)+(J172*10)+(K172*10)+((11-L172)*5))/10,0)</f>
        <v>33</v>
      </c>
      <c r="N172" s="6"/>
      <c r="O172" s="6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5" t="n">
        <f aca="false">ROUND(((G173*30)+((11-H173)*25)+(I173*20)+(J173*10)+(K173*10)+((11-L173)*5))/10,0)</f>
        <v>33</v>
      </c>
      <c r="N173" s="6"/>
      <c r="O173" s="6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5" t="n">
        <f aca="false">ROUND(((G174*30)+((11-H174)*25)+(I174*20)+(J174*10)+(K174*10)+((11-L174)*5))/10,0)</f>
        <v>33</v>
      </c>
      <c r="N174" s="6"/>
      <c r="O174" s="6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5" t="n">
        <f aca="false">ROUND(((G175*30)+((11-H175)*25)+(I175*20)+(J175*10)+(K175*10)+((11-L175)*5))/10,0)</f>
        <v>33</v>
      </c>
      <c r="N175" s="6"/>
      <c r="O175" s="6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5" t="n">
        <f aca="false">ROUND(((G176*30)+((11-H176)*25)+(I176*20)+(J176*10)+(K176*10)+((11-L176)*5))/10,0)</f>
        <v>33</v>
      </c>
      <c r="N176" s="6"/>
      <c r="O176" s="6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5" t="n">
        <f aca="false">ROUND(((G177*30)+((11-H177)*25)+(I177*20)+(J177*10)+(K177*10)+((11-L177)*5))/10,0)</f>
        <v>33</v>
      </c>
      <c r="N177" s="6"/>
      <c r="O177" s="6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5" t="n">
        <f aca="false">ROUND(((G178*30)+((11-H178)*25)+(I178*20)+(J178*10)+(K178*10)+((11-L178)*5))/10,0)</f>
        <v>33</v>
      </c>
      <c r="N178" s="6"/>
      <c r="O178" s="6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5" t="n">
        <f aca="false">ROUND(((G179*30)+((11-H179)*25)+(I179*20)+(J179*10)+(K179*10)+((11-L179)*5))/10,0)</f>
        <v>33</v>
      </c>
      <c r="N179" s="6"/>
      <c r="O179" s="6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5" t="n">
        <f aca="false">ROUND(((G180*30)+((11-H180)*25)+(I180*20)+(J180*10)+(K180*10)+((11-L180)*5))/10,0)</f>
        <v>33</v>
      </c>
      <c r="N180" s="6"/>
      <c r="O180" s="6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5" t="n">
        <f aca="false">ROUND(((G181*30)+((11-H181)*25)+(I181*20)+(J181*10)+(K181*10)+((11-L181)*5))/10,0)</f>
        <v>33</v>
      </c>
      <c r="N181" s="6"/>
      <c r="O181" s="6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5" t="n">
        <f aca="false">ROUND(((G182*30)+((11-H182)*25)+(I182*20)+(J182*10)+(K182*10)+((11-L182)*5))/10,0)</f>
        <v>33</v>
      </c>
      <c r="N182" s="6"/>
      <c r="O182" s="6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5" t="n">
        <f aca="false">ROUND(((G183*30)+((11-H183)*25)+(I183*20)+(J183*10)+(K183*10)+((11-L183)*5))/10,0)</f>
        <v>33</v>
      </c>
      <c r="N183" s="6"/>
      <c r="O183" s="6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5" t="n">
        <f aca="false">ROUND(((G184*30)+((11-H184)*25)+(I184*20)+(J184*10)+(K184*10)+((11-L184)*5))/10,0)</f>
        <v>33</v>
      </c>
      <c r="N184" s="6"/>
      <c r="O184" s="6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5" t="n">
        <f aca="false">ROUND(((G185*30)+((11-H185)*25)+(I185*20)+(J185*10)+(K185*10)+((11-L185)*5))/10,0)</f>
        <v>33</v>
      </c>
      <c r="N185" s="6"/>
      <c r="O185" s="6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5" t="n">
        <f aca="false">ROUND(((G186*30)+((11-H186)*25)+(I186*20)+(J186*10)+(K186*10)+((11-L186)*5))/10,0)</f>
        <v>33</v>
      </c>
      <c r="N186" s="6"/>
      <c r="O186" s="6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5" t="n">
        <f aca="false">ROUND(((G187*30)+((11-H187)*25)+(I187*20)+(J187*10)+(K187*10)+((11-L187)*5))/10,0)</f>
        <v>33</v>
      </c>
      <c r="N187" s="6"/>
      <c r="O187" s="6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5" t="n">
        <f aca="false">ROUND(((G188*30)+((11-H188)*25)+(I188*20)+(J188*10)+(K188*10)+((11-L188)*5))/10,0)</f>
        <v>33</v>
      </c>
      <c r="N188" s="6"/>
      <c r="O188" s="6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5" t="n">
        <f aca="false">ROUND(((G189*30)+((11-H189)*25)+(I189*20)+(J189*10)+(K189*10)+((11-L189)*5))/10,0)</f>
        <v>33</v>
      </c>
      <c r="N189" s="6"/>
      <c r="O189" s="6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5" t="n">
        <f aca="false">ROUND(((G190*30)+((11-H190)*25)+(I190*20)+(J190*10)+(K190*10)+((11-L190)*5))/10,0)</f>
        <v>33</v>
      </c>
      <c r="N190" s="6"/>
      <c r="O190" s="6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5" t="n">
        <f aca="false">ROUND(((G191*30)+((11-H191)*25)+(I191*20)+(J191*10)+(K191*10)+((11-L191)*5))/10,0)</f>
        <v>33</v>
      </c>
      <c r="N191" s="6"/>
      <c r="O191" s="6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5" t="n">
        <f aca="false">ROUND(((G192*30)+((11-H192)*25)+(I192*20)+(J192*10)+(K192*10)+((11-L192)*5))/10,0)</f>
        <v>33</v>
      </c>
      <c r="N192" s="6"/>
      <c r="O192" s="6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5" t="n">
        <f aca="false">ROUND(((G193*30)+((11-H193)*25)+(I193*20)+(J193*10)+(K193*10)+((11-L193)*5))/10,0)</f>
        <v>33</v>
      </c>
      <c r="N193" s="6"/>
      <c r="O193" s="6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5" t="n">
        <f aca="false">ROUND(((G194*30)+((11-H194)*25)+(I194*20)+(J194*10)+(K194*10)+((11-L194)*5))/10,0)</f>
        <v>33</v>
      </c>
      <c r="N194" s="6"/>
      <c r="O194" s="6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5" t="n">
        <f aca="false">ROUND(((G195*30)+((11-H195)*25)+(I195*20)+(J195*10)+(K195*10)+((11-L195)*5))/10,0)</f>
        <v>33</v>
      </c>
      <c r="N195" s="6"/>
      <c r="O195" s="6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5" t="n">
        <f aca="false">ROUND(((G196*30)+((11-H196)*25)+(I196*20)+(J196*10)+(K196*10)+((11-L196)*5))/10,0)</f>
        <v>33</v>
      </c>
      <c r="N196" s="6"/>
      <c r="O196" s="6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5" t="n">
        <f aca="false">ROUND(((G197*30)+((11-H197)*25)+(I197*20)+(J197*10)+(K197*10)+((11-L197)*5))/10,0)</f>
        <v>33</v>
      </c>
      <c r="N197" s="6"/>
      <c r="O197" s="6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5" t="n">
        <f aca="false">ROUND(((G198*30)+((11-H198)*25)+(I198*20)+(J198*10)+(K198*10)+((11-L198)*5))/10,0)</f>
        <v>33</v>
      </c>
      <c r="N198" s="6"/>
      <c r="O198" s="6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5" t="n">
        <f aca="false">ROUND(((G199*30)+((11-H199)*25)+(I199*20)+(J199*10)+(K199*10)+((11-L199)*5))/10,0)</f>
        <v>33</v>
      </c>
      <c r="N199" s="6"/>
      <c r="O199" s="6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5" t="n">
        <f aca="false">ROUND(((G200*30)+((11-H200)*25)+(I200*20)+(J200*10)+(K200*10)+((11-L200)*5))/10,0)</f>
        <v>33</v>
      </c>
      <c r="N200" s="6"/>
      <c r="O200" s="6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5" t="n">
        <f aca="false">ROUND(((G201*30)+((11-H201)*25)+(I201*20)+(J201*10)+(K201*10)+((11-L201)*5))/10,0)</f>
        <v>33</v>
      </c>
      <c r="N201" s="6"/>
      <c r="O201" s="6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5" t="n">
        <f aca="false">ROUND(((G202*30)+((11-H202)*25)+(I202*20)+(J202*10)+(K202*10)+((11-L202)*5))/10,0)</f>
        <v>33</v>
      </c>
      <c r="N202" s="6"/>
      <c r="O202" s="6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5" t="n">
        <f aca="false">ROUND(((G203*30)+((11-H203)*25)+(I203*20)+(J203*10)+(K203*10)+((11-L203)*5))/10,0)</f>
        <v>33</v>
      </c>
      <c r="N203" s="6"/>
      <c r="O203" s="6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5" t="n">
        <f aca="false">ROUND(((G204*30)+((11-H204)*25)+(I204*20)+(J204*10)+(K204*10)+((11-L204)*5))/10,0)</f>
        <v>33</v>
      </c>
      <c r="N204" s="6"/>
      <c r="O204" s="6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5" t="n">
        <f aca="false">ROUND(((G205*30)+((11-H205)*25)+(I205*20)+(J205*10)+(K205*10)+((11-L205)*5))/10,0)</f>
        <v>33</v>
      </c>
      <c r="N205" s="6"/>
      <c r="O205" s="6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5" t="n">
        <f aca="false">ROUND(((G206*30)+((11-H206)*25)+(I206*20)+(J206*10)+(K206*10)+((11-L206)*5))/10,0)</f>
        <v>33</v>
      </c>
      <c r="N206" s="6"/>
      <c r="O206" s="6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5" t="n">
        <f aca="false">ROUND(((G207*30)+((11-H207)*25)+(I207*20)+(J207*10)+(K207*10)+((11-L207)*5))/10,0)</f>
        <v>33</v>
      </c>
      <c r="N207" s="6"/>
      <c r="O207" s="6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5" t="n">
        <f aca="false">ROUND(((G208*30)+((11-H208)*25)+(I208*20)+(J208*10)+(K208*10)+((11-L208)*5))/10,0)</f>
        <v>33</v>
      </c>
      <c r="N208" s="6"/>
      <c r="O208" s="6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5" t="n">
        <f aca="false">ROUND(((G209*30)+((11-H209)*25)+(I209*20)+(J209*10)+(K209*10)+((11-L209)*5))/10,0)</f>
        <v>33</v>
      </c>
      <c r="N209" s="6"/>
      <c r="O209" s="6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5" t="n">
        <f aca="false">ROUND(((G210*30)+((11-H210)*25)+(I210*20)+(J210*10)+(K210*10)+((11-L210)*5))/10,0)</f>
        <v>33</v>
      </c>
      <c r="N210" s="6"/>
      <c r="O210" s="6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5" t="n">
        <f aca="false">ROUND(((G211*30)+((11-H211)*25)+(I211*20)+(J211*10)+(K211*10)+((11-L211)*5))/10,0)</f>
        <v>33</v>
      </c>
      <c r="N211" s="6"/>
      <c r="O211" s="6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5" t="n">
        <f aca="false">ROUND(((G212*30)+((11-H212)*25)+(I212*20)+(J212*10)+(K212*10)+((11-L212)*5))/10,0)</f>
        <v>33</v>
      </c>
      <c r="N212" s="6"/>
      <c r="O212" s="6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5" t="n">
        <f aca="false">ROUND(((G213*30)+((11-H213)*25)+(I213*20)+(J213*10)+(K213*10)+((11-L213)*5))/10,0)</f>
        <v>33</v>
      </c>
      <c r="N213" s="6"/>
      <c r="O213" s="6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5" t="n">
        <f aca="false">ROUND(((G214*30)+((11-H214)*25)+(I214*20)+(J214*10)+(K214*10)+((11-L214)*5))/10,0)</f>
        <v>33</v>
      </c>
      <c r="N214" s="6"/>
      <c r="O214" s="6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5" t="n">
        <f aca="false">ROUND(((G215*30)+((11-H215)*25)+(I215*20)+(J215*10)+(K215*10)+((11-L215)*5))/10,0)</f>
        <v>33</v>
      </c>
      <c r="N215" s="6"/>
      <c r="O215" s="6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5" t="n">
        <f aca="false">ROUND(((G216*30)+((11-H216)*25)+(I216*20)+(J216*10)+(K216*10)+((11-L216)*5))/10,0)</f>
        <v>33</v>
      </c>
      <c r="N216" s="6"/>
      <c r="O216" s="6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5" t="n">
        <f aca="false">ROUND(((G217*30)+((11-H217)*25)+(I217*20)+(J217*10)+(K217*10)+((11-L217)*5))/10,0)</f>
        <v>33</v>
      </c>
      <c r="N217" s="6"/>
      <c r="O217" s="6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5" t="n">
        <f aca="false">ROUND(((G218*30)+((11-H218)*25)+(I218*20)+(J218*10)+(K218*10)+((11-L218)*5))/10,0)</f>
        <v>33</v>
      </c>
      <c r="N218" s="6"/>
      <c r="O218" s="6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5" t="n">
        <f aca="false">ROUND(((G219*30)+((11-H219)*25)+(I219*20)+(J219*10)+(K219*10)+((11-L219)*5))/10,0)</f>
        <v>33</v>
      </c>
      <c r="N219" s="6"/>
      <c r="O219" s="6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5" t="n">
        <f aca="false">ROUND(((G220*30)+((11-H220)*25)+(I220*20)+(J220*10)+(K220*10)+((11-L220)*5))/10,0)</f>
        <v>33</v>
      </c>
      <c r="N220" s="6"/>
      <c r="O220" s="6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5" t="n">
        <f aca="false">ROUND(((G221*30)+((11-H221)*25)+(I221*20)+(J221*10)+(K221*10)+((11-L221)*5))/10,0)</f>
        <v>33</v>
      </c>
      <c r="N221" s="6"/>
      <c r="O221" s="6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5" t="n">
        <f aca="false">ROUND(((G222*30)+((11-H222)*25)+(I222*20)+(J222*10)+(K222*10)+((11-L222)*5))/10,0)</f>
        <v>33</v>
      </c>
      <c r="N222" s="6"/>
      <c r="O222" s="6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5" t="n">
        <f aca="false">ROUND(((G223*30)+((11-H223)*25)+(I223*20)+(J223*10)+(K223*10)+((11-L223)*5))/10,0)</f>
        <v>33</v>
      </c>
      <c r="N223" s="6"/>
      <c r="O223" s="6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5" t="n">
        <f aca="false">ROUND(((G224*30)+((11-H224)*25)+(I224*20)+(J224*10)+(K224*10)+((11-L224)*5))/10,0)</f>
        <v>33</v>
      </c>
      <c r="N224" s="6"/>
      <c r="O224" s="6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5" t="n">
        <f aca="false">ROUND(((G225*30)+((11-H225)*25)+(I225*20)+(J225*10)+(K225*10)+((11-L225)*5))/10,0)</f>
        <v>33</v>
      </c>
      <c r="N225" s="6"/>
      <c r="O225" s="6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5" t="n">
        <f aca="false">ROUND(((G226*30)+((11-H226)*25)+(I226*20)+(J226*10)+(K226*10)+((11-L226)*5))/10,0)</f>
        <v>33</v>
      </c>
      <c r="N226" s="6"/>
      <c r="O226" s="6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5" t="n">
        <f aca="false">ROUND(((G227*30)+((11-H227)*25)+(I227*20)+(J227*10)+(K227*10)+((11-L227)*5))/10,0)</f>
        <v>33</v>
      </c>
      <c r="N227" s="6"/>
      <c r="O227" s="6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5" t="n">
        <f aca="false">ROUND(((G228*30)+((11-H228)*25)+(I228*20)+(J228*10)+(K228*10)+((11-L228)*5))/10,0)</f>
        <v>33</v>
      </c>
      <c r="N228" s="6"/>
      <c r="O228" s="6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5" t="n">
        <f aca="false">ROUND(((G229*30)+((11-H229)*25)+(I229*20)+(J229*10)+(K229*10)+((11-L229)*5))/10,0)</f>
        <v>33</v>
      </c>
      <c r="N229" s="6"/>
      <c r="O229" s="6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5" t="n">
        <f aca="false">ROUND(((G230*30)+((11-H230)*25)+(I230*20)+(J230*10)+(K230*10)+((11-L230)*5))/10,0)</f>
        <v>33</v>
      </c>
      <c r="N230" s="6"/>
      <c r="O230" s="6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5" t="n">
        <f aca="false">ROUND(((G231*30)+((11-H231)*25)+(I231*20)+(J231*10)+(K231*10)+((11-L231)*5))/10,0)</f>
        <v>33</v>
      </c>
      <c r="N231" s="6"/>
      <c r="O231" s="6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5" t="n">
        <f aca="false">ROUND(((G232*30)+((11-H232)*25)+(I232*20)+(J232*10)+(K232*10)+((11-L232)*5))/10,0)</f>
        <v>33</v>
      </c>
      <c r="N232" s="6"/>
      <c r="O232" s="6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5" t="n">
        <f aca="false">ROUND(((G233*30)+((11-H233)*25)+(I233*20)+(J233*10)+(K233*10)+((11-L233)*5))/10,0)</f>
        <v>33</v>
      </c>
      <c r="N233" s="6"/>
      <c r="O233" s="6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5" t="n">
        <f aca="false">ROUND(((G234*30)+((11-H234)*25)+(I234*20)+(J234*10)+(K234*10)+((11-L234)*5))/10,0)</f>
        <v>33</v>
      </c>
      <c r="N234" s="6"/>
      <c r="O234" s="6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5" t="n">
        <f aca="false">ROUND(((G235*30)+((11-H235)*25)+(I235*20)+(J235*10)+(K235*10)+((11-L235)*5))/10,0)</f>
        <v>33</v>
      </c>
      <c r="N235" s="6"/>
      <c r="O235" s="6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5" t="n">
        <f aca="false">ROUND(((G236*30)+((11-H236)*25)+(I236*20)+(J236*10)+(K236*10)+((11-L236)*5))/10,0)</f>
        <v>33</v>
      </c>
      <c r="N236" s="6"/>
      <c r="O236" s="6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5" t="n">
        <f aca="false">ROUND(((G237*30)+((11-H237)*25)+(I237*20)+(J237*10)+(K237*10)+((11-L237)*5))/10,0)</f>
        <v>33</v>
      </c>
      <c r="N237" s="6"/>
      <c r="O237" s="6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5" t="n">
        <f aca="false">ROUND(((G238*30)+((11-H238)*25)+(I238*20)+(J238*10)+(K238*10)+((11-L238)*5))/10,0)</f>
        <v>33</v>
      </c>
      <c r="N238" s="6"/>
      <c r="O238" s="6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5" t="n">
        <f aca="false">ROUND(((G239*30)+((11-H239)*25)+(I239*20)+(J239*10)+(K239*10)+((11-L239)*5))/10,0)</f>
        <v>33</v>
      </c>
      <c r="N239" s="6"/>
      <c r="O239" s="6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5" t="n">
        <f aca="false">ROUND(((G240*30)+((11-H240)*25)+(I240*20)+(J240*10)+(K240*10)+((11-L240)*5))/10,0)</f>
        <v>33</v>
      </c>
      <c r="N240" s="6"/>
      <c r="O240" s="6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5" t="n">
        <f aca="false">ROUND(((G241*30)+((11-H241)*25)+(I241*20)+(J241*10)+(K241*10)+((11-L241)*5))/10,0)</f>
        <v>33</v>
      </c>
      <c r="N241" s="6"/>
      <c r="O241" s="6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5" t="n">
        <f aca="false">ROUND(((G242*30)+((11-H242)*25)+(I242*20)+(J242*10)+(K242*10)+((11-L242)*5))/10,0)</f>
        <v>33</v>
      </c>
      <c r="N242" s="6"/>
      <c r="O242" s="6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5" t="n">
        <f aca="false">ROUND(((G243*30)+((11-H243)*25)+(I243*20)+(J243*10)+(K243*10)+((11-L243)*5))/10,0)</f>
        <v>33</v>
      </c>
      <c r="N243" s="6"/>
      <c r="O243" s="6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5" t="n">
        <f aca="false">ROUND(((G244*30)+((11-H244)*25)+(I244*20)+(J244*10)+(K244*10)+((11-L244)*5))/10,0)</f>
        <v>33</v>
      </c>
      <c r="N244" s="6"/>
      <c r="O244" s="6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5" t="n">
        <f aca="false">ROUND(((G245*30)+((11-H245)*25)+(I245*20)+(J245*10)+(K245*10)+((11-L245)*5))/10,0)</f>
        <v>33</v>
      </c>
      <c r="N245" s="6"/>
      <c r="O245" s="6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5" t="n">
        <f aca="false">ROUND(((G246*30)+((11-H246)*25)+(I246*20)+(J246*10)+(K246*10)+((11-L246)*5))/10,0)</f>
        <v>33</v>
      </c>
      <c r="N246" s="6"/>
      <c r="O246" s="6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5" t="n">
        <f aca="false">ROUND(((G247*30)+((11-H247)*25)+(I247*20)+(J247*10)+(K247*10)+((11-L247)*5))/10,0)</f>
        <v>33</v>
      </c>
      <c r="N247" s="6"/>
      <c r="O247" s="6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5" t="n">
        <f aca="false">ROUND(((G248*30)+((11-H248)*25)+(I248*20)+(J248*10)+(K248*10)+((11-L248)*5))/10,0)</f>
        <v>33</v>
      </c>
      <c r="N248" s="6"/>
      <c r="O248" s="6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5" t="n">
        <f aca="false">ROUND(((G249*30)+((11-H249)*25)+(I249*20)+(J249*10)+(K249*10)+((11-L249)*5))/10,0)</f>
        <v>33</v>
      </c>
      <c r="N249" s="6"/>
      <c r="O249" s="6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5" t="n">
        <f aca="false">ROUND(((G250*30)+((11-H250)*25)+(I250*20)+(J250*10)+(K250*10)+((11-L250)*5))/10,0)</f>
        <v>33</v>
      </c>
      <c r="N250" s="6"/>
      <c r="O250" s="6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5" t="n">
        <f aca="false">ROUND(((G251*30)+((11-H251)*25)+(I251*20)+(J251*10)+(K251*10)+((11-L251)*5))/10,0)</f>
        <v>33</v>
      </c>
      <c r="N251" s="6"/>
      <c r="O251" s="6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5" t="n">
        <f aca="false">ROUND(((G252*30)+((11-H252)*25)+(I252*20)+(J252*10)+(K252*10)+((11-L252)*5))/10,0)</f>
        <v>33</v>
      </c>
      <c r="N252" s="6"/>
      <c r="O252" s="6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5" t="n">
        <f aca="false">ROUND(((G253*30)+((11-H253)*25)+(I253*20)+(J253*10)+(K253*10)+((11-L253)*5))/10,0)</f>
        <v>33</v>
      </c>
      <c r="N253" s="6"/>
      <c r="O253" s="6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5" t="n">
        <f aca="false">ROUND(((G254*30)+((11-H254)*25)+(I254*20)+(J254*10)+(K254*10)+((11-L254)*5))/10,0)</f>
        <v>33</v>
      </c>
      <c r="N254" s="6"/>
      <c r="O254" s="6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5" t="n">
        <f aca="false">ROUND(((G255*30)+((11-H255)*25)+(I255*20)+(J255*10)+(K255*10)+((11-L255)*5))/10,0)</f>
        <v>33</v>
      </c>
      <c r="N255" s="6"/>
      <c r="O255" s="6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5" t="n">
        <f aca="false">ROUND(((G256*30)+((11-H256)*25)+(I256*20)+(J256*10)+(K256*10)+((11-L256)*5))/10,0)</f>
        <v>33</v>
      </c>
      <c r="N256" s="6"/>
      <c r="O256" s="6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5" t="n">
        <f aca="false">ROUND(((G257*30)+((11-H257)*25)+(I257*20)+(J257*10)+(K257*10)+((11-L257)*5))/10,0)</f>
        <v>33</v>
      </c>
      <c r="N257" s="6"/>
      <c r="O257" s="6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5" t="n">
        <f aca="false">ROUND(((G258*30)+((11-H258)*25)+(I258*20)+(J258*10)+(K258*10)+((11-L258)*5))/10,0)</f>
        <v>33</v>
      </c>
      <c r="N258" s="6"/>
      <c r="O258" s="6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5" t="n">
        <f aca="false">ROUND(((G259*30)+((11-H259)*25)+(I259*20)+(J259*10)+(K259*10)+((11-L259)*5))/10,0)</f>
        <v>33</v>
      </c>
      <c r="N259" s="6"/>
      <c r="O259" s="6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5" t="n">
        <f aca="false">ROUND(((G260*30)+((11-H260)*25)+(I260*20)+(J260*10)+(K260*10)+((11-L260)*5))/10,0)</f>
        <v>33</v>
      </c>
      <c r="N260" s="6"/>
      <c r="O260" s="6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5" t="n">
        <f aca="false">ROUND(((G261*30)+((11-H261)*25)+(I261*20)+(J261*10)+(K261*10)+((11-L261)*5))/10,0)</f>
        <v>33</v>
      </c>
      <c r="N261" s="6"/>
      <c r="O261" s="6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5" t="n">
        <f aca="false">ROUND(((G262*30)+((11-H262)*25)+(I262*20)+(J262*10)+(K262*10)+((11-L262)*5))/10,0)</f>
        <v>33</v>
      </c>
      <c r="N262" s="6"/>
      <c r="O262" s="6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5" t="n">
        <f aca="false">ROUND(((G263*30)+((11-H263)*25)+(I263*20)+(J263*10)+(K263*10)+((11-L263)*5))/10,0)</f>
        <v>33</v>
      </c>
      <c r="N263" s="6"/>
      <c r="O263" s="6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5" t="n">
        <f aca="false">ROUND(((G264*30)+((11-H264)*25)+(I264*20)+(J264*10)+(K264*10)+((11-L264)*5))/10,0)</f>
        <v>33</v>
      </c>
      <c r="N264" s="6"/>
      <c r="O264" s="6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5" t="n">
        <f aca="false">ROUND(((G265*30)+((11-H265)*25)+(I265*20)+(J265*10)+(K265*10)+((11-L265)*5))/10,0)</f>
        <v>33</v>
      </c>
      <c r="N265" s="6"/>
      <c r="O265" s="6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5" t="n">
        <f aca="false">ROUND(((G266*30)+((11-H266)*25)+(I266*20)+(J266*10)+(K266*10)+((11-L266)*5))/10,0)</f>
        <v>33</v>
      </c>
      <c r="N266" s="6"/>
      <c r="O266" s="6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5" t="n">
        <f aca="false">ROUND(((G267*30)+((11-H267)*25)+(I267*20)+(J267*10)+(K267*10)+((11-L267)*5))/10,0)</f>
        <v>33</v>
      </c>
      <c r="N267" s="6"/>
      <c r="O267" s="6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5" t="n">
        <f aca="false">ROUND(((G268*30)+((11-H268)*25)+(I268*20)+(J268*10)+(K268*10)+((11-L268)*5))/10,0)</f>
        <v>33</v>
      </c>
      <c r="N268" s="6"/>
      <c r="O268" s="6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5" t="n">
        <f aca="false">ROUND(((G269*30)+((11-H269)*25)+(I269*20)+(J269*10)+(K269*10)+((11-L269)*5))/10,0)</f>
        <v>33</v>
      </c>
      <c r="N269" s="6"/>
      <c r="O269" s="6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5" t="n">
        <f aca="false">ROUND(((G270*30)+((11-H270)*25)+(I270*20)+(J270*10)+(K270*10)+((11-L270)*5))/10,0)</f>
        <v>33</v>
      </c>
      <c r="N270" s="6"/>
      <c r="O270" s="6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5" t="n">
        <f aca="false">ROUND(((G271*30)+((11-H271)*25)+(I271*20)+(J271*10)+(K271*10)+((11-L271)*5))/10,0)</f>
        <v>33</v>
      </c>
      <c r="N271" s="6"/>
      <c r="O271" s="6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5" t="n">
        <f aca="false">ROUND(((G272*30)+((11-H272)*25)+(I272*20)+(J272*10)+(K272*10)+((11-L272)*5))/10,0)</f>
        <v>33</v>
      </c>
      <c r="N272" s="6"/>
      <c r="O272" s="6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5" t="n">
        <f aca="false">ROUND(((G273*30)+((11-H273)*25)+(I273*20)+(J273*10)+(K273*10)+((11-L273)*5))/10,0)</f>
        <v>33</v>
      </c>
      <c r="N273" s="6"/>
      <c r="O273" s="6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5" t="n">
        <f aca="false">ROUND(((G274*30)+((11-H274)*25)+(I274*20)+(J274*10)+(K274*10)+((11-L274)*5))/10,0)</f>
        <v>33</v>
      </c>
      <c r="N274" s="6"/>
      <c r="O274" s="6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5" t="n">
        <f aca="false">ROUND(((G275*30)+((11-H275)*25)+(I275*20)+(J275*10)+(K275*10)+((11-L275)*5))/10,0)</f>
        <v>33</v>
      </c>
      <c r="N275" s="6"/>
      <c r="O275" s="6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5" t="n">
        <f aca="false">ROUND(((G276*30)+((11-H276)*25)+(I276*20)+(J276*10)+(K276*10)+((11-L276)*5))/10,0)</f>
        <v>33</v>
      </c>
      <c r="N276" s="6"/>
      <c r="O276" s="6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5" t="n">
        <f aca="false">ROUND(((G277*30)+((11-H277)*25)+(I277*20)+(J277*10)+(K277*10)+((11-L277)*5))/10,0)</f>
        <v>33</v>
      </c>
      <c r="N277" s="6"/>
      <c r="O277" s="6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5" t="n">
        <f aca="false">ROUND(((G278*30)+((11-H278)*25)+(I278*20)+(J278*10)+(K278*10)+((11-L278)*5))/10,0)</f>
        <v>33</v>
      </c>
      <c r="N278" s="6"/>
      <c r="O278" s="6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5" t="n">
        <f aca="false">ROUND(((G279*30)+((11-H279)*25)+(I279*20)+(J279*10)+(K279*10)+((11-L279)*5))/10,0)</f>
        <v>33</v>
      </c>
      <c r="N279" s="6"/>
      <c r="O279" s="6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5" t="n">
        <f aca="false">ROUND(((G280*30)+((11-H280)*25)+(I280*20)+(J280*10)+(K280*10)+((11-L280)*5))/10,0)</f>
        <v>33</v>
      </c>
      <c r="N280" s="6"/>
      <c r="O280" s="6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5" t="n">
        <f aca="false">ROUND(((G281*30)+((11-H281)*25)+(I281*20)+(J281*10)+(K281*10)+((11-L281)*5))/10,0)</f>
        <v>33</v>
      </c>
      <c r="N281" s="6"/>
      <c r="O281" s="6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5" t="n">
        <f aca="false">ROUND(((G282*30)+((11-H282)*25)+(I282*20)+(J282*10)+(K282*10)+((11-L282)*5))/10,0)</f>
        <v>33</v>
      </c>
      <c r="N282" s="6"/>
      <c r="O282" s="6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5" t="n">
        <f aca="false">ROUND(((G283*30)+((11-H283)*25)+(I283*20)+(J283*10)+(K283*10)+((11-L283)*5))/10,0)</f>
        <v>33</v>
      </c>
      <c r="N283" s="6"/>
      <c r="O283" s="6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5" t="n">
        <f aca="false">ROUND(((G284*30)+((11-H284)*25)+(I284*20)+(J284*10)+(K284*10)+((11-L284)*5))/10,0)</f>
        <v>33</v>
      </c>
      <c r="N284" s="6"/>
      <c r="O284" s="6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5" t="n">
        <f aca="false">ROUND(((G285*30)+((11-H285)*25)+(I285*20)+(J285*10)+(K285*10)+((11-L285)*5))/10,0)</f>
        <v>33</v>
      </c>
      <c r="N285" s="6"/>
      <c r="O285" s="6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5" t="n">
        <f aca="false">ROUND(((G286*30)+((11-H286)*25)+(I286*20)+(J286*10)+(K286*10)+((11-L286)*5))/10,0)</f>
        <v>33</v>
      </c>
      <c r="N286" s="6"/>
      <c r="O286" s="6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5" t="n">
        <f aca="false">ROUND(((G287*30)+((11-H287)*25)+(I287*20)+(J287*10)+(K287*10)+((11-L287)*5))/10,0)</f>
        <v>33</v>
      </c>
      <c r="N287" s="6"/>
      <c r="O287" s="6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5" t="n">
        <f aca="false">ROUND(((G288*30)+((11-H288)*25)+(I288*20)+(J288*10)+(K288*10)+((11-L288)*5))/10,0)</f>
        <v>33</v>
      </c>
      <c r="N288" s="6"/>
      <c r="O288" s="6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5" t="n">
        <f aca="false">ROUND(((G289*30)+((11-H289)*25)+(I289*20)+(J289*10)+(K289*10)+((11-L289)*5))/10,0)</f>
        <v>33</v>
      </c>
      <c r="N289" s="6"/>
      <c r="O289" s="6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5" t="n">
        <f aca="false">ROUND(((G290*30)+((11-H290)*25)+(I290*20)+(J290*10)+(K290*10)+((11-L290)*5))/10,0)</f>
        <v>33</v>
      </c>
      <c r="N290" s="6"/>
      <c r="O290" s="6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5" t="n">
        <f aca="false">ROUND(((G291*30)+((11-H291)*25)+(I291*20)+(J291*10)+(K291*10)+((11-L291)*5))/10,0)</f>
        <v>33</v>
      </c>
      <c r="N291" s="6"/>
      <c r="O291" s="6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5" t="n">
        <f aca="false">ROUND(((G292*30)+((11-H292)*25)+(I292*20)+(J292*10)+(K292*10)+((11-L292)*5))/10,0)</f>
        <v>33</v>
      </c>
      <c r="N292" s="6"/>
      <c r="O292" s="6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5" t="n">
        <f aca="false">ROUND(((G293*30)+((11-H293)*25)+(I293*20)+(J293*10)+(K293*10)+((11-L293)*5))/10,0)</f>
        <v>33</v>
      </c>
      <c r="N293" s="6"/>
      <c r="O293" s="6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5" t="n">
        <f aca="false">ROUND(((G294*30)+((11-H294)*25)+(I294*20)+(J294*10)+(K294*10)+((11-L294)*5))/10,0)</f>
        <v>33</v>
      </c>
      <c r="N294" s="6"/>
      <c r="O294" s="6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5" t="n">
        <f aca="false">ROUND(((G295*30)+((11-H295)*25)+(I295*20)+(J295*10)+(K295*10)+((11-L295)*5))/10,0)</f>
        <v>33</v>
      </c>
      <c r="N295" s="6"/>
      <c r="O295" s="6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5" t="n">
        <f aca="false">ROUND(((G296*30)+((11-H296)*25)+(I296*20)+(J296*10)+(K296*10)+((11-L296)*5))/10,0)</f>
        <v>33</v>
      </c>
      <c r="N296" s="6"/>
      <c r="O296" s="6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5" t="n">
        <f aca="false">ROUND(((G297*30)+((11-H297)*25)+(I297*20)+(J297*10)+(K297*10)+((11-L297)*5))/10,0)</f>
        <v>33</v>
      </c>
      <c r="N297" s="6"/>
      <c r="O297" s="6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5" t="n">
        <f aca="false">ROUND(((G298*30)+((11-H298)*25)+(I298*20)+(J298*10)+(K298*10)+((11-L298)*5))/10,0)</f>
        <v>33</v>
      </c>
      <c r="N298" s="6"/>
      <c r="O298" s="6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5" t="n">
        <f aca="false">ROUND(((G299*30)+((11-H299)*25)+(I299*20)+(J299*10)+(K299*10)+((11-L299)*5))/10,0)</f>
        <v>33</v>
      </c>
      <c r="N299" s="6"/>
      <c r="O299" s="6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5" t="n">
        <f aca="false">ROUND(((G300*30)+((11-H300)*25)+(I300*20)+(J300*10)+(K300*10)+((11-L300)*5))/10,0)</f>
        <v>33</v>
      </c>
      <c r="N300" s="6"/>
      <c r="O300" s="6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5" t="n">
        <f aca="false">ROUND(((G301*30)+((11-H301)*25)+(I301*20)+(J301*10)+(K301*10)+((11-L301)*5))/10,0)</f>
        <v>33</v>
      </c>
      <c r="N301" s="6"/>
      <c r="O301" s="6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5" t="n">
        <f aca="false">ROUND(((G302*30)+((11-H302)*25)+(I302*20)+(J302*10)+(K302*10)+((11-L302)*5))/10,0)</f>
        <v>33</v>
      </c>
      <c r="N302" s="6"/>
      <c r="O302" s="6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5" t="n">
        <f aca="false">ROUND(((G303*30)+((11-H303)*25)+(I303*20)+(J303*10)+(K303*10)+((11-L303)*5))/10,0)</f>
        <v>33</v>
      </c>
      <c r="N303" s="6"/>
      <c r="O303" s="6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5" t="n">
        <f aca="false">ROUND(((G304*30)+((11-H304)*25)+(I304*20)+(J304*10)+(K304*10)+((11-L304)*5))/10,0)</f>
        <v>33</v>
      </c>
      <c r="N304" s="6"/>
      <c r="O304" s="6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5" t="n">
        <f aca="false">ROUND(((G305*30)+((11-H305)*25)+(I305*20)+(J305*10)+(K305*10)+((11-L305)*5))/10,0)</f>
        <v>33</v>
      </c>
      <c r="N305" s="6"/>
      <c r="O305" s="6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5" t="n">
        <f aca="false">ROUND(((G306*30)+((11-H306)*25)+(I306*20)+(J306*10)+(K306*10)+((11-L306)*5))/10,0)</f>
        <v>33</v>
      </c>
      <c r="N306" s="6"/>
      <c r="O306" s="6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5" t="n">
        <f aca="false">ROUND(((G307*30)+((11-H307)*25)+(I307*20)+(J307*10)+(K307*10)+((11-L307)*5))/10,0)</f>
        <v>33</v>
      </c>
      <c r="N307" s="6"/>
      <c r="O307" s="6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5" t="n">
        <f aca="false">ROUND(((G308*30)+((11-H308)*25)+(I308*20)+(J308*10)+(K308*10)+((11-L308)*5))/10,0)</f>
        <v>33</v>
      </c>
      <c r="N308" s="6"/>
      <c r="O308" s="6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5" t="n">
        <f aca="false">ROUND(((G309*30)+((11-H309)*25)+(I309*20)+(J309*10)+(K309*10)+((11-L309)*5))/10,0)</f>
        <v>33</v>
      </c>
      <c r="N309" s="6"/>
      <c r="O309" s="6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5" t="n">
        <f aca="false">ROUND(((G310*30)+((11-H310)*25)+(I310*20)+(J310*10)+(K310*10)+((11-L310)*5))/10,0)</f>
        <v>33</v>
      </c>
      <c r="N310" s="6"/>
      <c r="O310" s="6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5" t="n">
        <f aca="false">ROUND(((G311*30)+((11-H311)*25)+(I311*20)+(J311*10)+(K311*10)+((11-L311)*5))/10,0)</f>
        <v>33</v>
      </c>
      <c r="N311" s="6"/>
      <c r="O311" s="6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5" t="n">
        <f aca="false">ROUND(((G312*30)+((11-H312)*25)+(I312*20)+(J312*10)+(K312*10)+((11-L312)*5))/10,0)</f>
        <v>33</v>
      </c>
      <c r="N312" s="6"/>
      <c r="O312" s="6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5" t="n">
        <f aca="false">ROUND(((G313*30)+((11-H313)*25)+(I313*20)+(J313*10)+(K313*10)+((11-L313)*5))/10,0)</f>
        <v>33</v>
      </c>
      <c r="N313" s="6"/>
      <c r="O313" s="6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5" t="n">
        <f aca="false">ROUND(((G314*30)+((11-H314)*25)+(I314*20)+(J314*10)+(K314*10)+((11-L314)*5))/10,0)</f>
        <v>33</v>
      </c>
      <c r="N314" s="6"/>
      <c r="O314" s="6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5" t="n">
        <f aca="false">ROUND(((G315*30)+((11-H315)*25)+(I315*20)+(J315*10)+(K315*10)+((11-L315)*5))/10,0)</f>
        <v>33</v>
      </c>
      <c r="N315" s="6"/>
      <c r="O315" s="6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5" t="n">
        <f aca="false">ROUND(((G316*30)+((11-H316)*25)+(I316*20)+(J316*10)+(K316*10)+((11-L316)*5))/10,0)</f>
        <v>33</v>
      </c>
      <c r="N316" s="6"/>
      <c r="O316" s="6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5" t="n">
        <f aca="false">ROUND(((G317*30)+((11-H317)*25)+(I317*20)+(J317*10)+(K317*10)+((11-L317)*5))/10,0)</f>
        <v>33</v>
      </c>
      <c r="N317" s="6"/>
      <c r="O317" s="6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5" t="n">
        <f aca="false">ROUND(((G318*30)+((11-H318)*25)+(I318*20)+(J318*10)+(K318*10)+((11-L318)*5))/10,0)</f>
        <v>33</v>
      </c>
      <c r="N318" s="6"/>
      <c r="O318" s="6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5" t="n">
        <f aca="false">ROUND(((G319*30)+((11-H319)*25)+(I319*20)+(J319*10)+(K319*10)+((11-L319)*5))/10,0)</f>
        <v>33</v>
      </c>
      <c r="N319" s="6"/>
      <c r="O319" s="6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5" t="n">
        <f aca="false">ROUND(((G320*30)+((11-H320)*25)+(I320*20)+(J320*10)+(K320*10)+((11-L320)*5))/10,0)</f>
        <v>33</v>
      </c>
      <c r="N320" s="6"/>
      <c r="O320" s="6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5" t="n">
        <f aca="false">ROUND(((G321*30)+((11-H321)*25)+(I321*20)+(J321*10)+(K321*10)+((11-L321)*5))/10,0)</f>
        <v>33</v>
      </c>
      <c r="N321" s="6"/>
      <c r="O321" s="6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5" t="n">
        <f aca="false">ROUND(((G322*30)+((11-H322)*25)+(I322*20)+(J322*10)+(K322*10)+((11-L322)*5))/10,0)</f>
        <v>33</v>
      </c>
      <c r="N322" s="6"/>
      <c r="O322" s="6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5" t="n">
        <f aca="false">ROUND(((G323*30)+((11-H323)*25)+(I323*20)+(J323*10)+(K323*10)+((11-L323)*5))/10,0)</f>
        <v>33</v>
      </c>
      <c r="N323" s="6"/>
      <c r="O323" s="6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5" t="n">
        <f aca="false">ROUND(((G324*30)+((11-H324)*25)+(I324*20)+(J324*10)+(K324*10)+((11-L324)*5))/10,0)</f>
        <v>33</v>
      </c>
      <c r="N324" s="6"/>
      <c r="O324" s="6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5" t="n">
        <f aca="false">ROUND(((G325*30)+((11-H325)*25)+(I325*20)+(J325*10)+(K325*10)+((11-L325)*5))/10,0)</f>
        <v>33</v>
      </c>
      <c r="N325" s="6"/>
      <c r="O325" s="6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5" t="n">
        <f aca="false">ROUND(((G326*30)+((11-H326)*25)+(I326*20)+(J326*10)+(K326*10)+((11-L326)*5))/10,0)</f>
        <v>33</v>
      </c>
      <c r="N326" s="6"/>
      <c r="O326" s="6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5" t="n">
        <f aca="false">ROUND(((G327*30)+((11-H327)*25)+(I327*20)+(J327*10)+(K327*10)+((11-L327)*5))/10,0)</f>
        <v>33</v>
      </c>
      <c r="N327" s="6"/>
      <c r="O327" s="6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5" t="n">
        <f aca="false">ROUND(((G328*30)+((11-H328)*25)+(I328*20)+(J328*10)+(K328*10)+((11-L328)*5))/10,0)</f>
        <v>33</v>
      </c>
      <c r="N328" s="6"/>
      <c r="O328" s="6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5" t="n">
        <f aca="false">ROUND(((G329*30)+((11-H329)*25)+(I329*20)+(J329*10)+(K329*10)+((11-L329)*5))/10,0)</f>
        <v>33</v>
      </c>
      <c r="N329" s="6"/>
      <c r="O329" s="6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5" t="n">
        <f aca="false">ROUND(((G330*30)+((11-H330)*25)+(I330*20)+(J330*10)+(K330*10)+((11-L330)*5))/10,0)</f>
        <v>33</v>
      </c>
      <c r="N330" s="6"/>
      <c r="O330" s="6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5" t="n">
        <f aca="false">ROUND(((G331*30)+((11-H331)*25)+(I331*20)+(J331*10)+(K331*10)+((11-L331)*5))/10,0)</f>
        <v>33</v>
      </c>
      <c r="N331" s="6"/>
      <c r="O331" s="6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5" t="n">
        <f aca="false">ROUND(((G332*30)+((11-H332)*25)+(I332*20)+(J332*10)+(K332*10)+((11-L332)*5))/10,0)</f>
        <v>33</v>
      </c>
      <c r="N332" s="6"/>
      <c r="O332" s="6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5" t="n">
        <f aca="false">ROUND(((G333*30)+((11-H333)*25)+(I333*20)+(J333*10)+(K333*10)+((11-L333)*5))/10,0)</f>
        <v>33</v>
      </c>
      <c r="N333" s="6"/>
      <c r="O333" s="6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5" t="n">
        <f aca="false">ROUND(((G334*30)+((11-H334)*25)+(I334*20)+(J334*10)+(K334*10)+((11-L334)*5))/10,0)</f>
        <v>33</v>
      </c>
      <c r="N334" s="6"/>
      <c r="O334" s="6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5" t="n">
        <f aca="false">ROUND(((G335*30)+((11-H335)*25)+(I335*20)+(J335*10)+(K335*10)+((11-L335)*5))/10,0)</f>
        <v>33</v>
      </c>
      <c r="N335" s="6"/>
      <c r="O335" s="6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5" t="n">
        <f aca="false">ROUND(((G336*30)+((11-H336)*25)+(I336*20)+(J336*10)+(K336*10)+((11-L336)*5))/10,0)</f>
        <v>33</v>
      </c>
      <c r="N336" s="6"/>
      <c r="O336" s="6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5" t="n">
        <f aca="false">ROUND(((G337*30)+((11-H337)*25)+(I337*20)+(J337*10)+(K337*10)+((11-L337)*5))/10,0)</f>
        <v>33</v>
      </c>
      <c r="N337" s="6"/>
      <c r="O337" s="6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5" t="n">
        <f aca="false">ROUND(((G338*30)+((11-H338)*25)+(I338*20)+(J338*10)+(K338*10)+((11-L338)*5))/10,0)</f>
        <v>33</v>
      </c>
      <c r="N338" s="6"/>
      <c r="O338" s="6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5" t="n">
        <f aca="false">ROUND(((G339*30)+((11-H339)*25)+(I339*20)+(J339*10)+(K339*10)+((11-L339)*5))/10,0)</f>
        <v>33</v>
      </c>
      <c r="N339" s="6"/>
      <c r="O339" s="6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5" t="n">
        <f aca="false">ROUND(((G340*30)+((11-H340)*25)+(I340*20)+(J340*10)+(K340*10)+((11-L340)*5))/10,0)</f>
        <v>33</v>
      </c>
      <c r="N340" s="6"/>
      <c r="O340" s="6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5" t="n">
        <f aca="false">ROUND(((G341*30)+((11-H341)*25)+(I341*20)+(J341*10)+(K341*10)+((11-L341)*5))/10,0)</f>
        <v>33</v>
      </c>
      <c r="N341" s="6"/>
      <c r="O341" s="6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5" t="n">
        <f aca="false">ROUND(((G342*30)+((11-H342)*25)+(I342*20)+(J342*10)+(K342*10)+((11-L342)*5))/10,0)</f>
        <v>33</v>
      </c>
      <c r="N342" s="6"/>
      <c r="O342" s="6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5" t="n">
        <f aca="false">ROUND(((G343*30)+((11-H343)*25)+(I343*20)+(J343*10)+(K343*10)+((11-L343)*5))/10,0)</f>
        <v>33</v>
      </c>
      <c r="N343" s="6"/>
      <c r="O343" s="6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5" t="n">
        <f aca="false">ROUND(((G344*30)+((11-H344)*25)+(I344*20)+(J344*10)+(K344*10)+((11-L344)*5))/10,0)</f>
        <v>33</v>
      </c>
      <c r="N344" s="6"/>
      <c r="O344" s="6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5" t="n">
        <f aca="false">ROUND(((G345*30)+((11-H345)*25)+(I345*20)+(J345*10)+(K345*10)+((11-L345)*5))/10,0)</f>
        <v>33</v>
      </c>
      <c r="N345" s="6"/>
      <c r="O345" s="6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5" t="n">
        <f aca="false">ROUND(((G346*30)+((11-H346)*25)+(I346*20)+(J346*10)+(K346*10)+((11-L346)*5))/10,0)</f>
        <v>33</v>
      </c>
      <c r="N346" s="6"/>
      <c r="O346" s="6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5" t="n">
        <f aca="false">ROUND(((G347*30)+((11-H347)*25)+(I347*20)+(J347*10)+(K347*10)+((11-L347)*5))/10,0)</f>
        <v>33</v>
      </c>
      <c r="N347" s="6"/>
      <c r="O347" s="6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5" t="n">
        <f aca="false">ROUND(((G348*30)+((11-H348)*25)+(I348*20)+(J348*10)+(K348*10)+((11-L348)*5))/10,0)</f>
        <v>33</v>
      </c>
      <c r="N348" s="6"/>
      <c r="O348" s="6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5" t="n">
        <f aca="false">ROUND(((G349*30)+((11-H349)*25)+(I349*20)+(J349*10)+(K349*10)+((11-L349)*5))/10,0)</f>
        <v>33</v>
      </c>
      <c r="N349" s="6"/>
      <c r="O349" s="6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5" t="n">
        <f aca="false">ROUND(((G350*30)+((11-H350)*25)+(I350*20)+(J350*10)+(K350*10)+((11-L350)*5))/10,0)</f>
        <v>33</v>
      </c>
      <c r="N350" s="6"/>
      <c r="O350" s="6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5" t="n">
        <f aca="false">ROUND(((G351*30)+((11-H351)*25)+(I351*20)+(J351*10)+(K351*10)+((11-L351)*5))/10,0)</f>
        <v>33</v>
      </c>
      <c r="N351" s="6"/>
      <c r="O351" s="6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5" t="n">
        <f aca="false">ROUND(((G352*30)+((11-H352)*25)+(I352*20)+(J352*10)+(K352*10)+((11-L352)*5))/10,0)</f>
        <v>33</v>
      </c>
      <c r="N352" s="6"/>
      <c r="O352" s="6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5" t="n">
        <f aca="false">ROUND(((G353*30)+((11-H353)*25)+(I353*20)+(J353*10)+(K353*10)+((11-L353)*5))/10,0)</f>
        <v>33</v>
      </c>
      <c r="N353" s="6"/>
      <c r="O353" s="6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5" t="n">
        <f aca="false">ROUND(((G354*30)+((11-H354)*25)+(I354*20)+(J354*10)+(K354*10)+((11-L354)*5))/10,0)</f>
        <v>33</v>
      </c>
      <c r="N354" s="6"/>
      <c r="O354" s="6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5" t="n">
        <f aca="false">ROUND(((G355*30)+((11-H355)*25)+(I355*20)+(J355*10)+(K355*10)+((11-L355)*5))/10,0)</f>
        <v>33</v>
      </c>
      <c r="N355" s="6"/>
      <c r="O355" s="6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5" t="n">
        <f aca="false">ROUND(((G356*30)+((11-H356)*25)+(I356*20)+(J356*10)+(K356*10)+((11-L356)*5))/10,0)</f>
        <v>33</v>
      </c>
      <c r="N356" s="6"/>
      <c r="O356" s="6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5" t="n">
        <f aca="false">ROUND(((G357*30)+((11-H357)*25)+(I357*20)+(J357*10)+(K357*10)+((11-L357)*5))/10,0)</f>
        <v>33</v>
      </c>
      <c r="N357" s="6"/>
      <c r="O357" s="6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5" t="n">
        <f aca="false">ROUND(((G358*30)+((11-H358)*25)+(I358*20)+(J358*10)+(K358*10)+((11-L358)*5))/10,0)</f>
        <v>33</v>
      </c>
      <c r="N358" s="6"/>
      <c r="O358" s="6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5" t="n">
        <f aca="false">ROUND(((G359*30)+((11-H359)*25)+(I359*20)+(J359*10)+(K359*10)+((11-L359)*5))/10,0)</f>
        <v>33</v>
      </c>
      <c r="N359" s="6"/>
      <c r="O359" s="6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5" t="n">
        <f aca="false">ROUND(((G360*30)+((11-H360)*25)+(I360*20)+(J360*10)+(K360*10)+((11-L360)*5))/10,0)</f>
        <v>33</v>
      </c>
      <c r="N360" s="6"/>
      <c r="O360" s="6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5" t="n">
        <f aca="false">ROUND(((G361*30)+((11-H361)*25)+(I361*20)+(J361*10)+(K361*10)+((11-L361)*5))/10,0)</f>
        <v>33</v>
      </c>
      <c r="N361" s="6"/>
      <c r="O361" s="6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5" t="n">
        <f aca="false">ROUND(((G362*30)+((11-H362)*25)+(I362*20)+(J362*10)+(K362*10)+((11-L362)*5))/10,0)</f>
        <v>33</v>
      </c>
      <c r="N362" s="6"/>
      <c r="O362" s="6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5" t="n">
        <f aca="false">ROUND(((G363*30)+((11-H363)*25)+(I363*20)+(J363*10)+(K363*10)+((11-L363)*5))/10,0)</f>
        <v>33</v>
      </c>
      <c r="N363" s="6"/>
      <c r="O363" s="6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5" t="n">
        <f aca="false">ROUND(((G364*30)+((11-H364)*25)+(I364*20)+(J364*10)+(K364*10)+((11-L364)*5))/10,0)</f>
        <v>33</v>
      </c>
      <c r="N364" s="6"/>
      <c r="O364" s="6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5" t="n">
        <f aca="false">ROUND(((G365*30)+((11-H365)*25)+(I365*20)+(J365*10)+(K365*10)+((11-L365)*5))/10,0)</f>
        <v>33</v>
      </c>
      <c r="N365" s="6"/>
      <c r="O365" s="6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5" t="n">
        <f aca="false">ROUND(((G366*30)+((11-H366)*25)+(I366*20)+(J366*10)+(K366*10)+((11-L366)*5))/10,0)</f>
        <v>33</v>
      </c>
      <c r="N366" s="6"/>
      <c r="O366" s="6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5" t="n">
        <f aca="false">ROUND(((G367*30)+((11-H367)*25)+(I367*20)+(J367*10)+(K367*10)+((11-L367)*5))/10,0)</f>
        <v>33</v>
      </c>
      <c r="N367" s="6"/>
      <c r="O367" s="6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5" t="n">
        <f aca="false">ROUND(((G368*30)+((11-H368)*25)+(I368*20)+(J368*10)+(K368*10)+((11-L368)*5))/10,0)</f>
        <v>33</v>
      </c>
      <c r="N368" s="6"/>
      <c r="O368" s="6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5" t="n">
        <f aca="false">ROUND(((G369*30)+((11-H369)*25)+(I369*20)+(J369*10)+(K369*10)+((11-L369)*5))/10,0)</f>
        <v>33</v>
      </c>
      <c r="N369" s="6"/>
      <c r="O369" s="6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5" t="n">
        <f aca="false">ROUND(((G370*30)+((11-H370)*25)+(I370*20)+(J370*10)+(K370*10)+((11-L370)*5))/10,0)</f>
        <v>33</v>
      </c>
      <c r="N370" s="6"/>
      <c r="O370" s="6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5" t="n">
        <f aca="false">ROUND(((G371*30)+((11-H371)*25)+(I371*20)+(J371*10)+(K371*10)+((11-L371)*5))/10,0)</f>
        <v>33</v>
      </c>
      <c r="N371" s="6"/>
      <c r="O371" s="6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5" t="n">
        <f aca="false">ROUND(((G372*30)+((11-H372)*25)+(I372*20)+(J372*10)+(K372*10)+((11-L372)*5))/10,0)</f>
        <v>33</v>
      </c>
      <c r="N372" s="6"/>
      <c r="O372" s="6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5" t="n">
        <f aca="false">ROUND(((G373*30)+((11-H373)*25)+(I373*20)+(J373*10)+(K373*10)+((11-L373)*5))/10,0)</f>
        <v>33</v>
      </c>
      <c r="N373" s="6"/>
      <c r="O373" s="6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5" t="n">
        <f aca="false">ROUND(((G374*30)+((11-H374)*25)+(I374*20)+(J374*10)+(K374*10)+((11-L374)*5))/10,0)</f>
        <v>33</v>
      </c>
      <c r="N374" s="6"/>
      <c r="O374" s="6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5" t="n">
        <f aca="false">ROUND(((G375*30)+((11-H375)*25)+(I375*20)+(J375*10)+(K375*10)+((11-L375)*5))/10,0)</f>
        <v>33</v>
      </c>
      <c r="N375" s="6"/>
      <c r="O375" s="6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5" t="n">
        <f aca="false">ROUND(((G376*30)+((11-H376)*25)+(I376*20)+(J376*10)+(K376*10)+((11-L376)*5))/10,0)</f>
        <v>33</v>
      </c>
      <c r="N376" s="6"/>
      <c r="O376" s="6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5" t="n">
        <f aca="false">ROUND(((G377*30)+((11-H377)*25)+(I377*20)+(J377*10)+(K377*10)+((11-L377)*5))/10,0)</f>
        <v>33</v>
      </c>
      <c r="N377" s="6"/>
      <c r="O377" s="6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5" t="n">
        <f aca="false">ROUND(((G378*30)+((11-H378)*25)+(I378*20)+(J378*10)+(K378*10)+((11-L378)*5))/10,0)</f>
        <v>33</v>
      </c>
      <c r="N378" s="6"/>
      <c r="O378" s="6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5" t="n">
        <f aca="false">ROUND(((G379*30)+((11-H379)*25)+(I379*20)+(J379*10)+(K379*10)+((11-L379)*5))/10,0)</f>
        <v>33</v>
      </c>
      <c r="N379" s="6"/>
      <c r="O379" s="6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5" t="n">
        <f aca="false">ROUND(((G380*30)+((11-H380)*25)+(I380*20)+(J380*10)+(K380*10)+((11-L380)*5))/10,0)</f>
        <v>33</v>
      </c>
      <c r="N380" s="6"/>
      <c r="O380" s="6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5" t="n">
        <f aca="false">ROUND(((G381*30)+((11-H381)*25)+(I381*20)+(J381*10)+(K381*10)+((11-L381)*5))/10,0)</f>
        <v>33</v>
      </c>
      <c r="N381" s="6"/>
      <c r="O381" s="6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5" t="n">
        <f aca="false">ROUND(((G382*30)+((11-H382)*25)+(I382*20)+(J382*10)+(K382*10)+((11-L382)*5))/10,0)</f>
        <v>33</v>
      </c>
      <c r="N382" s="6"/>
      <c r="O382" s="6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5" t="n">
        <f aca="false">ROUND(((G383*30)+((11-H383)*25)+(I383*20)+(J383*10)+(K383*10)+((11-L383)*5))/10,0)</f>
        <v>33</v>
      </c>
      <c r="N383" s="6"/>
      <c r="O383" s="6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5" t="n">
        <f aca="false">ROUND(((G384*30)+((11-H384)*25)+(I384*20)+(J384*10)+(K384*10)+((11-L384)*5))/10,0)</f>
        <v>33</v>
      </c>
      <c r="N384" s="6"/>
      <c r="O384" s="6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5" t="n">
        <f aca="false">ROUND(((G385*30)+((11-H385)*25)+(I385*20)+(J385*10)+(K385*10)+((11-L385)*5))/10,0)</f>
        <v>33</v>
      </c>
      <c r="N385" s="6"/>
      <c r="O385" s="6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5" t="n">
        <f aca="false">ROUND(((G386*30)+((11-H386)*25)+(I386*20)+(J386*10)+(K386*10)+((11-L386)*5))/10,0)</f>
        <v>33</v>
      </c>
      <c r="N386" s="6"/>
      <c r="O386" s="6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5" t="n">
        <f aca="false">ROUND(((G387*30)+((11-H387)*25)+(I387*20)+(J387*10)+(K387*10)+((11-L387)*5))/10,0)</f>
        <v>33</v>
      </c>
      <c r="N387" s="6"/>
      <c r="O387" s="6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5" t="n">
        <f aca="false">ROUND(((G388*30)+((11-H388)*25)+(I388*20)+(J388*10)+(K388*10)+((11-L388)*5))/10,0)</f>
        <v>33</v>
      </c>
      <c r="N388" s="6"/>
      <c r="O388" s="6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5" t="n">
        <f aca="false">ROUND(((G389*30)+((11-H389)*25)+(I389*20)+(J389*10)+(K389*10)+((11-L389)*5))/10,0)</f>
        <v>33</v>
      </c>
      <c r="N389" s="6"/>
      <c r="O389" s="6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5" t="n">
        <f aca="false">ROUND(((G390*30)+((11-H390)*25)+(I390*20)+(J390*10)+(K390*10)+((11-L390)*5))/10,0)</f>
        <v>33</v>
      </c>
      <c r="N390" s="6"/>
      <c r="O390" s="6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5" t="n">
        <f aca="false">ROUND(((G391*30)+((11-H391)*25)+(I391*20)+(J391*10)+(K391*10)+((11-L391)*5))/10,0)</f>
        <v>33</v>
      </c>
      <c r="N391" s="6"/>
      <c r="O391" s="6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5" t="n">
        <f aca="false">ROUND(((G392*30)+((11-H392)*25)+(I392*20)+(J392*10)+(K392*10)+((11-L392)*5))/10,0)</f>
        <v>33</v>
      </c>
      <c r="N392" s="6"/>
      <c r="O392" s="6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5" t="n">
        <f aca="false">ROUND(((G393*30)+((11-H393)*25)+(I393*20)+(J393*10)+(K393*10)+((11-L393)*5))/10,0)</f>
        <v>33</v>
      </c>
      <c r="N393" s="6"/>
      <c r="O393" s="6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5" t="n">
        <f aca="false">ROUND(((G394*30)+((11-H394)*25)+(I394*20)+(J394*10)+(K394*10)+((11-L394)*5))/10,0)</f>
        <v>33</v>
      </c>
      <c r="N394" s="6"/>
      <c r="O394" s="6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5" t="n">
        <f aca="false">ROUND(((G395*30)+((11-H395)*25)+(I395*20)+(J395*10)+(K395*10)+((11-L395)*5))/10,0)</f>
        <v>33</v>
      </c>
      <c r="N395" s="6"/>
      <c r="O395" s="6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5" t="n">
        <f aca="false">ROUND(((G396*30)+((11-H396)*25)+(I396*20)+(J396*10)+(K396*10)+((11-L396)*5))/10,0)</f>
        <v>33</v>
      </c>
      <c r="N396" s="6"/>
      <c r="O396" s="6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5" t="n">
        <f aca="false">ROUND(((G397*30)+((11-H397)*25)+(I397*20)+(J397*10)+(K397*10)+((11-L397)*5))/10,0)</f>
        <v>33</v>
      </c>
      <c r="N397" s="6"/>
      <c r="O397" s="6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5" t="n">
        <f aca="false">ROUND(((G398*30)+((11-H398)*25)+(I398*20)+(J398*10)+(K398*10)+((11-L398)*5))/10,0)</f>
        <v>33</v>
      </c>
      <c r="N398" s="6"/>
      <c r="O398" s="6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5" t="n">
        <f aca="false">ROUND(((G399*30)+((11-H399)*25)+(I399*20)+(J399*10)+(K399*10)+((11-L399)*5))/10,0)</f>
        <v>33</v>
      </c>
      <c r="N399" s="6"/>
      <c r="O399" s="6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5" t="n">
        <f aca="false">ROUND(((G400*30)+((11-H400)*25)+(I400*20)+(J400*10)+(K400*10)+((11-L400)*5))/10,0)</f>
        <v>33</v>
      </c>
      <c r="N400" s="6"/>
      <c r="O400" s="6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5" t="n">
        <f aca="false">ROUND(((G401*30)+((11-H401)*25)+(I401*20)+(J401*10)+(K401*10)+((11-L401)*5))/10,0)</f>
        <v>33</v>
      </c>
      <c r="N401" s="6"/>
      <c r="O401" s="6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5" t="n">
        <f aca="false">ROUND(((G402*30)+((11-H402)*25)+(I402*20)+(J402*10)+(K402*10)+((11-L402)*5))/10,0)</f>
        <v>33</v>
      </c>
      <c r="N402" s="6"/>
      <c r="O402" s="6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5" t="n">
        <f aca="false">ROUND(((G403*30)+((11-H403)*25)+(I403*20)+(J403*10)+(K403*10)+((11-L403)*5))/10,0)</f>
        <v>33</v>
      </c>
      <c r="N403" s="6"/>
      <c r="O403" s="6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5" t="n">
        <f aca="false">ROUND(((G404*30)+((11-H404)*25)+(I404*20)+(J404*10)+(K404*10)+((11-L404)*5))/10,0)</f>
        <v>33</v>
      </c>
      <c r="N404" s="6"/>
      <c r="O404" s="6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5" t="n">
        <f aca="false">ROUND(((G405*30)+((11-H405)*25)+(I405*20)+(J405*10)+(K405*10)+((11-L405)*5))/10,0)</f>
        <v>33</v>
      </c>
      <c r="N405" s="6"/>
      <c r="O405" s="6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5" t="n">
        <f aca="false">ROUND(((G406*30)+((11-H406)*25)+(I406*20)+(J406*10)+(K406*10)+((11-L406)*5))/10,0)</f>
        <v>33</v>
      </c>
      <c r="N406" s="6"/>
      <c r="O406" s="6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5" t="n">
        <f aca="false">ROUND(((G407*30)+((11-H407)*25)+(I407*20)+(J407*10)+(K407*10)+((11-L407)*5))/10,0)</f>
        <v>33</v>
      </c>
      <c r="N407" s="6"/>
      <c r="O407" s="6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5" t="n">
        <f aca="false">ROUND(((G408*30)+((11-H408)*25)+(I408*20)+(J408*10)+(K408*10)+((11-L408)*5))/10,0)</f>
        <v>33</v>
      </c>
      <c r="N408" s="6"/>
      <c r="O408" s="6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5" t="n">
        <f aca="false">ROUND(((G409*30)+((11-H409)*25)+(I409*20)+(J409*10)+(K409*10)+((11-L409)*5))/10,0)</f>
        <v>33</v>
      </c>
      <c r="N409" s="6"/>
      <c r="O409" s="6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5" t="n">
        <f aca="false">ROUND(((G410*30)+((11-H410)*25)+(I410*20)+(J410*10)+(K410*10)+((11-L410)*5))/10,0)</f>
        <v>33</v>
      </c>
      <c r="N410" s="6"/>
      <c r="O410" s="6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5" t="n">
        <f aca="false">ROUND(((G411*30)+((11-H411)*25)+(I411*20)+(J411*10)+(K411*10)+((11-L411)*5))/10,0)</f>
        <v>33</v>
      </c>
      <c r="N411" s="6"/>
      <c r="O411" s="6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5" t="n">
        <f aca="false">ROUND(((G412*30)+((11-H412)*25)+(I412*20)+(J412*10)+(K412*10)+((11-L412)*5))/10,0)</f>
        <v>33</v>
      </c>
      <c r="N412" s="6"/>
      <c r="O412" s="6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5" t="n">
        <f aca="false">ROUND(((G413*30)+((11-H413)*25)+(I413*20)+(J413*10)+(K413*10)+((11-L413)*5))/10,0)</f>
        <v>33</v>
      </c>
      <c r="N413" s="6"/>
      <c r="O413" s="6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5" t="n">
        <f aca="false">ROUND(((G414*30)+((11-H414)*25)+(I414*20)+(J414*10)+(K414*10)+((11-L414)*5))/10,0)</f>
        <v>33</v>
      </c>
      <c r="N414" s="6"/>
      <c r="O414" s="6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5" t="n">
        <f aca="false">ROUND(((G415*30)+((11-H415)*25)+(I415*20)+(J415*10)+(K415*10)+((11-L415)*5))/10,0)</f>
        <v>33</v>
      </c>
      <c r="N415" s="6"/>
      <c r="O415" s="6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5" t="n">
        <f aca="false">ROUND(((G416*30)+((11-H416)*25)+(I416*20)+(J416*10)+(K416*10)+((11-L416)*5))/10,0)</f>
        <v>33</v>
      </c>
      <c r="N416" s="6"/>
      <c r="O416" s="6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5" t="n">
        <f aca="false">ROUND(((G417*30)+((11-H417)*25)+(I417*20)+(J417*10)+(K417*10)+((11-L417)*5))/10,0)</f>
        <v>33</v>
      </c>
      <c r="N417" s="6"/>
      <c r="O417" s="6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5" t="n">
        <f aca="false">ROUND(((G418*30)+((11-H418)*25)+(I418*20)+(J418*10)+(K418*10)+((11-L418)*5))/10,0)</f>
        <v>33</v>
      </c>
      <c r="N418" s="6"/>
      <c r="O418" s="6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5" t="n">
        <f aca="false">ROUND(((G419*30)+((11-H419)*25)+(I419*20)+(J419*10)+(K419*10)+((11-L419)*5))/10,0)</f>
        <v>33</v>
      </c>
      <c r="N419" s="6"/>
      <c r="O419" s="6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5" t="n">
        <f aca="false">ROUND(((G420*30)+((11-H420)*25)+(I420*20)+(J420*10)+(K420*10)+((11-L420)*5))/10,0)</f>
        <v>33</v>
      </c>
      <c r="N420" s="6"/>
      <c r="O420" s="6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5" t="n">
        <f aca="false">ROUND(((G421*30)+((11-H421)*25)+(I421*20)+(J421*10)+(K421*10)+((11-L421)*5))/10,0)</f>
        <v>33</v>
      </c>
      <c r="N421" s="6"/>
      <c r="O421" s="6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5" t="n">
        <f aca="false">ROUND(((G422*30)+((11-H422)*25)+(I422*20)+(J422*10)+(K422*10)+((11-L422)*5))/10,0)</f>
        <v>33</v>
      </c>
      <c r="N422" s="6"/>
      <c r="O422" s="6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5" t="n">
        <f aca="false">ROUND(((G423*30)+((11-H423)*25)+(I423*20)+(J423*10)+(K423*10)+((11-L423)*5))/10,0)</f>
        <v>33</v>
      </c>
      <c r="N423" s="6"/>
      <c r="O423" s="6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5" t="n">
        <f aca="false">ROUND(((G424*30)+((11-H424)*25)+(I424*20)+(J424*10)+(K424*10)+((11-L424)*5))/10,0)</f>
        <v>33</v>
      </c>
      <c r="N424" s="6"/>
      <c r="O424" s="6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5" t="n">
        <f aca="false">ROUND(((G425*30)+((11-H425)*25)+(I425*20)+(J425*10)+(K425*10)+((11-L425)*5))/10,0)</f>
        <v>33</v>
      </c>
      <c r="N425" s="6"/>
      <c r="O425" s="6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5" t="n">
        <f aca="false">ROUND(((G426*30)+((11-H426)*25)+(I426*20)+(J426*10)+(K426*10)+((11-L426)*5))/10,0)</f>
        <v>33</v>
      </c>
      <c r="N426" s="6"/>
      <c r="O426" s="6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5" t="n">
        <f aca="false">ROUND(((G427*30)+((11-H427)*25)+(I427*20)+(J427*10)+(K427*10)+((11-L427)*5))/10,0)</f>
        <v>33</v>
      </c>
      <c r="N427" s="6"/>
      <c r="O427" s="6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5" t="n">
        <f aca="false">ROUND(((G428*30)+((11-H428)*25)+(I428*20)+(J428*10)+(K428*10)+((11-L428)*5))/10,0)</f>
        <v>33</v>
      </c>
      <c r="N428" s="6"/>
      <c r="O428" s="6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5" t="n">
        <f aca="false">ROUND(((G429*30)+((11-H429)*25)+(I429*20)+(J429*10)+(K429*10)+((11-L429)*5))/10,0)</f>
        <v>33</v>
      </c>
      <c r="N429" s="6"/>
      <c r="O429" s="6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5" t="n">
        <f aca="false">ROUND(((G430*30)+((11-H430)*25)+(I430*20)+(J430*10)+(K430*10)+((11-L430)*5))/10,0)</f>
        <v>33</v>
      </c>
      <c r="N430" s="6"/>
      <c r="O430" s="6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5" t="n">
        <f aca="false">ROUND(((G431*30)+((11-H431)*25)+(I431*20)+(J431*10)+(K431*10)+((11-L431)*5))/10,0)</f>
        <v>33</v>
      </c>
      <c r="N431" s="6"/>
      <c r="O431" s="6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5" t="n">
        <f aca="false">ROUND(((G432*30)+((11-H432)*25)+(I432*20)+(J432*10)+(K432*10)+((11-L432)*5))/10,0)</f>
        <v>33</v>
      </c>
      <c r="N432" s="6"/>
      <c r="O432" s="6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5" t="n">
        <f aca="false">ROUND(((G433*30)+((11-H433)*25)+(I433*20)+(J433*10)+(K433*10)+((11-L433)*5))/10,0)</f>
        <v>33</v>
      </c>
      <c r="N433" s="6"/>
      <c r="O433" s="6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5" t="n">
        <f aca="false">ROUND(((G434*30)+((11-H434)*25)+(I434*20)+(J434*10)+(K434*10)+((11-L434)*5))/10,0)</f>
        <v>33</v>
      </c>
      <c r="N434" s="6"/>
      <c r="O434" s="6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5" t="n">
        <f aca="false">ROUND(((G435*30)+((11-H435)*25)+(I435*20)+(J435*10)+(K435*10)+((11-L435)*5))/10,0)</f>
        <v>33</v>
      </c>
      <c r="N435" s="6"/>
      <c r="O435" s="6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5" t="n">
        <f aca="false">ROUND(((G436*30)+((11-H436)*25)+(I436*20)+(J436*10)+(K436*10)+((11-L436)*5))/10,0)</f>
        <v>33</v>
      </c>
      <c r="N436" s="6"/>
      <c r="O436" s="6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5" t="n">
        <f aca="false">ROUND(((G437*30)+((11-H437)*25)+(I437*20)+(J437*10)+(K437*10)+((11-L437)*5))/10,0)</f>
        <v>33</v>
      </c>
      <c r="N437" s="6"/>
      <c r="O437" s="6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5" t="n">
        <f aca="false">ROUND(((G438*30)+((11-H438)*25)+(I438*20)+(J438*10)+(K438*10)+((11-L438)*5))/10,0)</f>
        <v>33</v>
      </c>
      <c r="N438" s="6"/>
      <c r="O438" s="6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5" t="n">
        <f aca="false">ROUND(((G439*30)+((11-H439)*25)+(I439*20)+(J439*10)+(K439*10)+((11-L439)*5))/10,0)</f>
        <v>33</v>
      </c>
      <c r="N439" s="6"/>
      <c r="O439" s="6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5" t="n">
        <f aca="false">ROUND(((G440*30)+((11-H440)*25)+(I440*20)+(J440*10)+(K440*10)+((11-L440)*5))/10,0)</f>
        <v>33</v>
      </c>
      <c r="N440" s="6"/>
      <c r="O440" s="6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5" t="n">
        <f aca="false">ROUND(((G441*30)+((11-H441)*25)+(I441*20)+(J441*10)+(K441*10)+((11-L441)*5))/10,0)</f>
        <v>33</v>
      </c>
      <c r="N441" s="6"/>
      <c r="O441" s="6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5" t="n">
        <f aca="false">ROUND(((G442*30)+((11-H442)*25)+(I442*20)+(J442*10)+(K442*10)+((11-L442)*5))/10,0)</f>
        <v>33</v>
      </c>
      <c r="N442" s="6"/>
      <c r="O442" s="6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5" t="n">
        <f aca="false">ROUND(((G443*30)+((11-H443)*25)+(I443*20)+(J443*10)+(K443*10)+((11-L443)*5))/10,0)</f>
        <v>33</v>
      </c>
      <c r="N443" s="6"/>
      <c r="O443" s="6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5" t="n">
        <f aca="false">ROUND(((G444*30)+((11-H444)*25)+(I444*20)+(J444*10)+(K444*10)+((11-L444)*5))/10,0)</f>
        <v>33</v>
      </c>
      <c r="N444" s="6"/>
      <c r="O444" s="6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5" t="n">
        <f aca="false">ROUND(((G445*30)+((11-H445)*25)+(I445*20)+(J445*10)+(K445*10)+((11-L445)*5))/10,0)</f>
        <v>33</v>
      </c>
      <c r="N445" s="6"/>
      <c r="O445" s="6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5" t="n">
        <f aca="false">ROUND(((G446*30)+((11-H446)*25)+(I446*20)+(J446*10)+(K446*10)+((11-L446)*5))/10,0)</f>
        <v>33</v>
      </c>
      <c r="N446" s="6"/>
      <c r="O446" s="6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5" t="n">
        <f aca="false">ROUND(((G447*30)+((11-H447)*25)+(I447*20)+(J447*10)+(K447*10)+((11-L447)*5))/10,0)</f>
        <v>33</v>
      </c>
      <c r="N447" s="6"/>
      <c r="O447" s="6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5" t="n">
        <f aca="false">ROUND(((G448*30)+((11-H448)*25)+(I448*20)+(J448*10)+(K448*10)+((11-L448)*5))/10,0)</f>
        <v>33</v>
      </c>
      <c r="N448" s="6"/>
      <c r="O448" s="6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5" t="n">
        <f aca="false">ROUND(((G449*30)+((11-H449)*25)+(I449*20)+(J449*10)+(K449*10)+((11-L449)*5))/10,0)</f>
        <v>33</v>
      </c>
      <c r="N449" s="6"/>
      <c r="O449" s="6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5" t="n">
        <f aca="false">ROUND(((G450*30)+((11-H450)*25)+(I450*20)+(J450*10)+(K450*10)+((11-L450)*5))/10,0)</f>
        <v>33</v>
      </c>
      <c r="N450" s="6"/>
      <c r="O450" s="6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5" t="n">
        <f aca="false">ROUND(((G451*30)+((11-H451)*25)+(I451*20)+(J451*10)+(K451*10)+((11-L451)*5))/10,0)</f>
        <v>33</v>
      </c>
      <c r="N451" s="6"/>
      <c r="O451" s="6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5" t="n">
        <f aca="false">ROUND(((G452*30)+((11-H452)*25)+(I452*20)+(J452*10)+(K452*10)+((11-L452)*5))/10,0)</f>
        <v>33</v>
      </c>
      <c r="N452" s="6"/>
      <c r="O452" s="6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5" t="n">
        <f aca="false">ROUND(((G453*30)+((11-H453)*25)+(I453*20)+(J453*10)+(K453*10)+((11-L453)*5))/10,0)</f>
        <v>33</v>
      </c>
      <c r="N453" s="6"/>
      <c r="O453" s="6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5" t="n">
        <f aca="false">ROUND(((G454*30)+((11-H454)*25)+(I454*20)+(J454*10)+(K454*10)+((11-L454)*5))/10,0)</f>
        <v>33</v>
      </c>
      <c r="N454" s="6"/>
      <c r="O454" s="6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5" t="n">
        <f aca="false">ROUND(((G455*30)+((11-H455)*25)+(I455*20)+(J455*10)+(K455*10)+((11-L455)*5))/10,0)</f>
        <v>33</v>
      </c>
      <c r="N455" s="6"/>
      <c r="O455" s="6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5" t="n">
        <f aca="false">ROUND(((G456*30)+((11-H456)*25)+(I456*20)+(J456*10)+(K456*10)+((11-L456)*5))/10,0)</f>
        <v>33</v>
      </c>
      <c r="N456" s="6"/>
      <c r="O456" s="6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5" t="n">
        <f aca="false">ROUND(((G457*30)+((11-H457)*25)+(I457*20)+(J457*10)+(K457*10)+((11-L457)*5))/10,0)</f>
        <v>33</v>
      </c>
      <c r="N457" s="6"/>
      <c r="O457" s="6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5" t="n">
        <f aca="false">ROUND(((G458*30)+((11-H458)*25)+(I458*20)+(J458*10)+(K458*10)+((11-L458)*5))/10,0)</f>
        <v>33</v>
      </c>
      <c r="N458" s="6"/>
      <c r="O458" s="6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5" t="n">
        <f aca="false">ROUND(((G459*30)+((11-H459)*25)+(I459*20)+(J459*10)+(K459*10)+((11-L459)*5))/10,0)</f>
        <v>33</v>
      </c>
      <c r="N459" s="6"/>
      <c r="O459" s="6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5" t="n">
        <f aca="false">ROUND(((G460*30)+((11-H460)*25)+(I460*20)+(J460*10)+(K460*10)+((11-L460)*5))/10,0)</f>
        <v>33</v>
      </c>
      <c r="N460" s="6"/>
      <c r="O460" s="6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5" t="n">
        <f aca="false">ROUND(((G461*30)+((11-H461)*25)+(I461*20)+(J461*10)+(K461*10)+((11-L461)*5))/10,0)</f>
        <v>33</v>
      </c>
      <c r="N461" s="6"/>
      <c r="O461" s="6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5" t="n">
        <f aca="false">ROUND(((G462*30)+((11-H462)*25)+(I462*20)+(J462*10)+(K462*10)+((11-L462)*5))/10,0)</f>
        <v>33</v>
      </c>
      <c r="N462" s="6"/>
      <c r="O462" s="6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5" t="n">
        <f aca="false">ROUND(((G463*30)+((11-H463)*25)+(I463*20)+(J463*10)+(K463*10)+((11-L463)*5))/10,0)</f>
        <v>33</v>
      </c>
      <c r="N463" s="6"/>
      <c r="O463" s="6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5" t="n">
        <f aca="false">ROUND(((G464*30)+((11-H464)*25)+(I464*20)+(J464*10)+(K464*10)+((11-L464)*5))/10,0)</f>
        <v>33</v>
      </c>
      <c r="N464" s="6"/>
      <c r="O464" s="6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5" t="n">
        <f aca="false">ROUND(((G465*30)+((11-H465)*25)+(I465*20)+(J465*10)+(K465*10)+((11-L465)*5))/10,0)</f>
        <v>33</v>
      </c>
      <c r="N465" s="6"/>
      <c r="O465" s="6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5" t="n">
        <f aca="false">ROUND(((G466*30)+((11-H466)*25)+(I466*20)+(J466*10)+(K466*10)+((11-L466)*5))/10,0)</f>
        <v>33</v>
      </c>
      <c r="N466" s="6"/>
      <c r="O466" s="6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5" t="n">
        <f aca="false">ROUND(((G467*30)+((11-H467)*25)+(I467*20)+(J467*10)+(K467*10)+((11-L467)*5))/10,0)</f>
        <v>33</v>
      </c>
      <c r="N467" s="6"/>
      <c r="O467" s="6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5" t="n">
        <f aca="false">ROUND(((G468*30)+((11-H468)*25)+(I468*20)+(J468*10)+(K468*10)+((11-L468)*5))/10,0)</f>
        <v>33</v>
      </c>
      <c r="N468" s="6"/>
      <c r="O468" s="6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5" t="n">
        <f aca="false">ROUND(((G469*30)+((11-H469)*25)+(I469*20)+(J469*10)+(K469*10)+((11-L469)*5))/10,0)</f>
        <v>33</v>
      </c>
      <c r="N469" s="6"/>
      <c r="O469" s="6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5" t="n">
        <f aca="false">ROUND(((G470*30)+((11-H470)*25)+(I470*20)+(J470*10)+(K470*10)+((11-L470)*5))/10,0)</f>
        <v>33</v>
      </c>
      <c r="N470" s="6"/>
      <c r="O470" s="6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5" t="n">
        <f aca="false">ROUND(((G471*30)+((11-H471)*25)+(I471*20)+(J471*10)+(K471*10)+((11-L471)*5))/10,0)</f>
        <v>33</v>
      </c>
      <c r="N471" s="6"/>
      <c r="O471" s="6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5" t="n">
        <f aca="false">ROUND(((G472*30)+((11-H472)*25)+(I472*20)+(J472*10)+(K472*10)+((11-L472)*5))/10,0)</f>
        <v>33</v>
      </c>
      <c r="N472" s="6"/>
      <c r="O472" s="6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5" t="n">
        <f aca="false">ROUND(((G473*30)+((11-H473)*25)+(I473*20)+(J473*10)+(K473*10)+((11-L473)*5))/10,0)</f>
        <v>33</v>
      </c>
      <c r="N473" s="6"/>
      <c r="O473" s="6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5" t="n">
        <f aca="false">ROUND(((G474*30)+((11-H474)*25)+(I474*20)+(J474*10)+(K474*10)+((11-L474)*5))/10,0)</f>
        <v>33</v>
      </c>
      <c r="N474" s="6"/>
      <c r="O474" s="6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5" t="n">
        <f aca="false">ROUND(((G475*30)+((11-H475)*25)+(I475*20)+(J475*10)+(K475*10)+((11-L475)*5))/10,0)</f>
        <v>33</v>
      </c>
      <c r="N475" s="6"/>
      <c r="O475" s="6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5" t="n">
        <f aca="false">ROUND(((G476*30)+((11-H476)*25)+(I476*20)+(J476*10)+(K476*10)+((11-L476)*5))/10,0)</f>
        <v>33</v>
      </c>
      <c r="N476" s="6"/>
      <c r="O476" s="6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5" t="n">
        <f aca="false">ROUND(((G477*30)+((11-H477)*25)+(I477*20)+(J477*10)+(K477*10)+((11-L477)*5))/10,0)</f>
        <v>33</v>
      </c>
      <c r="N477" s="6"/>
      <c r="O477" s="6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5" t="n">
        <f aca="false">ROUND(((G478*30)+((11-H478)*25)+(I478*20)+(J478*10)+(K478*10)+((11-L478)*5))/10,0)</f>
        <v>33</v>
      </c>
      <c r="N478" s="6"/>
      <c r="O478" s="6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5" t="n">
        <f aca="false">ROUND(((G479*30)+((11-H479)*25)+(I479*20)+(J479*10)+(K479*10)+((11-L479)*5))/10,0)</f>
        <v>33</v>
      </c>
      <c r="N479" s="6"/>
      <c r="O479" s="6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5" t="n">
        <f aca="false">ROUND(((G480*30)+((11-H480)*25)+(I480*20)+(J480*10)+(K480*10)+((11-L480)*5))/10,0)</f>
        <v>33</v>
      </c>
      <c r="N480" s="6"/>
      <c r="O480" s="6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5" t="n">
        <f aca="false">ROUND(((G481*30)+((11-H481)*25)+(I481*20)+(J481*10)+(K481*10)+((11-L481)*5))/10,0)</f>
        <v>33</v>
      </c>
      <c r="N481" s="6"/>
      <c r="O481" s="6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5" t="n">
        <f aca="false">ROUND(((G482*30)+((11-H482)*25)+(I482*20)+(J482*10)+(K482*10)+((11-L482)*5))/10,0)</f>
        <v>33</v>
      </c>
      <c r="N482" s="6"/>
      <c r="O482" s="6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5" t="n">
        <f aca="false">ROUND(((G483*30)+((11-H483)*25)+(I483*20)+(J483*10)+(K483*10)+((11-L483)*5))/10,0)</f>
        <v>33</v>
      </c>
      <c r="N483" s="6"/>
      <c r="O483" s="6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5" t="n">
        <f aca="false">ROUND(((G484*30)+((11-H484)*25)+(I484*20)+(J484*10)+(K484*10)+((11-L484)*5))/10,0)</f>
        <v>33</v>
      </c>
      <c r="N484" s="6"/>
      <c r="O484" s="6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5" t="n">
        <f aca="false">ROUND(((G485*30)+((11-H485)*25)+(I485*20)+(J485*10)+(K485*10)+((11-L485)*5))/10,0)</f>
        <v>33</v>
      </c>
      <c r="N485" s="6"/>
      <c r="O485" s="6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5" t="n">
        <f aca="false">ROUND(((G486*30)+((11-H486)*25)+(I486*20)+(J486*10)+(K486*10)+((11-L486)*5))/10,0)</f>
        <v>33</v>
      </c>
      <c r="N486" s="6"/>
      <c r="O486" s="6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5" t="n">
        <f aca="false">ROUND(((G487*30)+((11-H487)*25)+(I487*20)+(J487*10)+(K487*10)+((11-L487)*5))/10,0)</f>
        <v>33</v>
      </c>
      <c r="N487" s="6"/>
      <c r="O487" s="6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5" t="n">
        <f aca="false">ROUND(((G488*30)+((11-H488)*25)+(I488*20)+(J488*10)+(K488*10)+((11-L488)*5))/10,0)</f>
        <v>33</v>
      </c>
      <c r="N488" s="6"/>
      <c r="O488" s="6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5" t="n">
        <f aca="false">ROUND(((G489*30)+((11-H489)*25)+(I489*20)+(J489*10)+(K489*10)+((11-L489)*5))/10,0)</f>
        <v>33</v>
      </c>
      <c r="N489" s="6"/>
      <c r="O489" s="6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5" t="n">
        <f aca="false">ROUND(((G490*30)+((11-H490)*25)+(I490*20)+(J490*10)+(K490*10)+((11-L490)*5))/10,0)</f>
        <v>33</v>
      </c>
      <c r="N490" s="6"/>
      <c r="O490" s="6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5" t="n">
        <f aca="false">ROUND(((G491*30)+((11-H491)*25)+(I491*20)+(J491*10)+(K491*10)+((11-L491)*5))/10,0)</f>
        <v>33</v>
      </c>
      <c r="N491" s="6"/>
      <c r="O491" s="6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5" t="n">
        <f aca="false">ROUND(((G492*30)+((11-H492)*25)+(I492*20)+(J492*10)+(K492*10)+((11-L492)*5))/10,0)</f>
        <v>33</v>
      </c>
      <c r="N492" s="6"/>
      <c r="O492" s="6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5" t="n">
        <f aca="false">ROUND(((G493*30)+((11-H493)*25)+(I493*20)+(J493*10)+(K493*10)+((11-L493)*5))/10,0)</f>
        <v>33</v>
      </c>
      <c r="N493" s="6"/>
      <c r="O493" s="6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5" t="n">
        <f aca="false">ROUND(((G494*30)+((11-H494)*25)+(I494*20)+(J494*10)+(K494*10)+((11-L494)*5))/10,0)</f>
        <v>33</v>
      </c>
      <c r="N494" s="6"/>
      <c r="O494" s="6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5" t="n">
        <f aca="false">ROUND(((G495*30)+((11-H495)*25)+(I495*20)+(J495*10)+(K495*10)+((11-L495)*5))/10,0)</f>
        <v>33</v>
      </c>
      <c r="N495" s="6"/>
      <c r="O495" s="6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5" t="n">
        <f aca="false">ROUND(((G496*30)+((11-H496)*25)+(I496*20)+(J496*10)+(K496*10)+((11-L496)*5))/10,0)</f>
        <v>33</v>
      </c>
      <c r="N496" s="6"/>
      <c r="O496" s="6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5" t="n">
        <f aca="false">ROUND(((G497*30)+((11-H497)*25)+(I497*20)+(J497*10)+(K497*10)+((11-L497)*5))/10,0)</f>
        <v>33</v>
      </c>
      <c r="N497" s="6"/>
      <c r="O497" s="6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5" t="n">
        <f aca="false">ROUND(((G498*30)+((11-H498)*25)+(I498*20)+(J498*10)+(K498*10)+((11-L498)*5))/10,0)</f>
        <v>33</v>
      </c>
      <c r="N498" s="6"/>
      <c r="O498" s="6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5" t="n">
        <f aca="false">ROUND(((G499*30)+((11-H499)*25)+(I499*20)+(J499*10)+(K499*10)+((11-L499)*5))/10,0)</f>
        <v>33</v>
      </c>
      <c r="N499" s="6"/>
      <c r="O499" s="6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5" t="n">
        <f aca="false">ROUND(((G500*30)+((11-H500)*25)+(I500*20)+(J500*10)+(K500*10)+((11-L500)*5))/10,0)</f>
        <v>33</v>
      </c>
      <c r="N500" s="6"/>
      <c r="O500" s="6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M501" s="7" t="n">
        <f aca="false">ROUND(((G501*30)+((11-H501)*25)+(I501*20)+(J501*10)+(K501*10)+((11-L501)*5))/10,0)</f>
        <v>33</v>
      </c>
    </row>
  </sheetData>
  <conditionalFormatting sqref="M2:M501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dataValidations count="3">
    <dataValidation allowBlank="false" errorStyle="stop" operator="between" showDropDown="false" showErrorMessage="false" showInputMessage="false" sqref="A2:A501" type="list">
      <formula1>Settings!$C$2:$C$16</formula1>
      <formula2>0</formula2>
    </dataValidation>
    <dataValidation allowBlank="false" errorStyle="stop" operator="between" showDropDown="false" showErrorMessage="false" showInputMessage="false" sqref="N2:N501" type="list">
      <formula1>Settings!$B$2:$B$6</formula1>
      <formula2>0</formula2>
    </dataValidation>
    <dataValidation allowBlank="false" errorStyle="stop" operator="between" showDropDown="false" showErrorMessage="false" showInputMessage="false" sqref="O2:O501" type="list">
      <formula1>Settings!$A$2:$A$8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8" min="6" style="0" width="10"/>
    <col collapsed="false" customWidth="true" hidden="false" outlineLevel="0" max="9" min="9" style="0" width="26"/>
    <col collapsed="false" customWidth="true" hidden="false" outlineLevel="0" max="10" min="10" style="0" width="36"/>
    <col collapsed="false" customWidth="true" hidden="false" outlineLevel="0" max="11" min="11" style="0" width="24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54</v>
      </c>
      <c r="L1" s="2" t="s">
        <v>32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n">
        <v>46190.2521996991</v>
      </c>
      <c r="B2" s="3" t="s">
        <v>115</v>
      </c>
      <c r="C2" s="3" t="s">
        <v>116</v>
      </c>
      <c r="D2" s="3" t="n">
        <v>3000</v>
      </c>
      <c r="E2" s="3" t="s">
        <v>117</v>
      </c>
      <c r="F2" s="3" t="n">
        <v>30</v>
      </c>
      <c r="G2" s="3" t="n">
        <v>50</v>
      </c>
      <c r="H2" s="3" t="n">
        <v>20</v>
      </c>
      <c r="I2" s="3" t="s">
        <v>118</v>
      </c>
      <c r="J2" s="3" t="s">
        <v>119</v>
      </c>
      <c r="K2" s="3" t="s">
        <v>59</v>
      </c>
      <c r="L2" s="3" t="s">
        <v>120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3" t="n">
        <v>46190.2521996991</v>
      </c>
      <c r="B3" s="3" t="s">
        <v>121</v>
      </c>
      <c r="C3" s="3" t="s">
        <v>116</v>
      </c>
      <c r="D3" s="3" t="n">
        <v>3600000</v>
      </c>
      <c r="E3" s="3" t="s">
        <v>122</v>
      </c>
      <c r="F3" s="3" t="n">
        <v>80</v>
      </c>
      <c r="G3" s="3" t="n">
        <v>5</v>
      </c>
      <c r="H3" s="3" t="n">
        <v>15</v>
      </c>
      <c r="I3" s="3" t="s">
        <v>123</v>
      </c>
      <c r="J3" s="3" t="s">
        <v>124</v>
      </c>
      <c r="K3" s="3" t="s">
        <v>59</v>
      </c>
      <c r="L3" s="3" t="s">
        <v>125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3" t="n">
        <v>46190.2521996991</v>
      </c>
      <c r="B4" s="3" t="s">
        <v>126</v>
      </c>
      <c r="C4" s="3" t="s">
        <v>116</v>
      </c>
      <c r="D4" s="3" t="n">
        <v>5000</v>
      </c>
      <c r="E4" s="3" t="s">
        <v>127</v>
      </c>
      <c r="F4" s="3" t="n">
        <v>35</v>
      </c>
      <c r="G4" s="3" t="n">
        <v>35</v>
      </c>
      <c r="H4" s="3" t="n">
        <v>30</v>
      </c>
      <c r="I4" s="3" t="s">
        <v>128</v>
      </c>
      <c r="J4" s="3" t="s">
        <v>129</v>
      </c>
      <c r="K4" s="3" t="s">
        <v>59</v>
      </c>
      <c r="L4" s="3" t="s">
        <v>130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3" t="n">
        <v>46190.2521996991</v>
      </c>
      <c r="B5" s="3" t="s">
        <v>131</v>
      </c>
      <c r="C5" s="3" t="s">
        <v>116</v>
      </c>
      <c r="D5" s="3" t="n">
        <v>8000</v>
      </c>
      <c r="E5" s="3" t="s">
        <v>132</v>
      </c>
      <c r="F5" s="3" t="n">
        <v>20</v>
      </c>
      <c r="G5" s="3" t="n">
        <v>65</v>
      </c>
      <c r="H5" s="3" t="n">
        <v>15</v>
      </c>
      <c r="I5" s="3" t="s">
        <v>133</v>
      </c>
      <c r="J5" s="3" t="s">
        <v>134</v>
      </c>
      <c r="K5" s="3" t="s">
        <v>59</v>
      </c>
      <c r="L5" s="3" t="s">
        <v>135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55.2" hidden="false" customHeight="false" outlineLevel="0" collapsed="false">
      <c r="A6" s="3"/>
      <c r="B6" s="3" t="s">
        <v>136</v>
      </c>
      <c r="C6" s="3" t="s">
        <v>137</v>
      </c>
      <c r="D6" s="3" t="n">
        <v>176</v>
      </c>
      <c r="E6" s="3"/>
      <c r="F6" s="3"/>
      <c r="G6" s="3"/>
      <c r="H6" s="3"/>
      <c r="I6" s="3"/>
      <c r="J6" s="3" t="s">
        <v>138</v>
      </c>
      <c r="K6" s="3" t="s">
        <v>59</v>
      </c>
      <c r="L6" s="3" t="s">
        <v>139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41.75" hidden="false" customHeight="false" outlineLevel="0" collapsed="false">
      <c r="A7" s="3"/>
      <c r="B7" s="3" t="s">
        <v>140</v>
      </c>
      <c r="C7" s="3" t="s">
        <v>116</v>
      </c>
      <c r="D7" s="3" t="n">
        <v>26525</v>
      </c>
      <c r="E7" s="3"/>
      <c r="F7" s="3"/>
      <c r="G7" s="3"/>
      <c r="H7" s="3"/>
      <c r="I7" s="3"/>
      <c r="J7" s="3" t="s">
        <v>141</v>
      </c>
      <c r="K7" s="3" t="s">
        <v>59</v>
      </c>
      <c r="L7" s="3" t="s">
        <v>142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41.75" hidden="false" customHeight="false" outlineLevel="0" collapsed="false">
      <c r="A8" s="3"/>
      <c r="B8" s="3" t="s">
        <v>143</v>
      </c>
      <c r="C8" s="3" t="s">
        <v>116</v>
      </c>
      <c r="D8" s="3" t="n">
        <v>2655</v>
      </c>
      <c r="E8" s="3"/>
      <c r="F8" s="3"/>
      <c r="G8" s="3"/>
      <c r="H8" s="3"/>
      <c r="I8" s="3"/>
      <c r="J8" s="3" t="s">
        <v>144</v>
      </c>
      <c r="K8" s="3" t="s">
        <v>59</v>
      </c>
      <c r="L8" s="3" t="s">
        <v>142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41.75" hidden="false" customHeight="false" outlineLevel="0" collapsed="false">
      <c r="A9" s="3"/>
      <c r="B9" s="3" t="s">
        <v>145</v>
      </c>
      <c r="C9" s="3" t="s">
        <v>116</v>
      </c>
      <c r="D9" s="3" t="n">
        <v>4436</v>
      </c>
      <c r="E9" s="3"/>
      <c r="F9" s="3"/>
      <c r="G9" s="3"/>
      <c r="H9" s="3"/>
      <c r="I9" s="3"/>
      <c r="J9" s="3" t="s">
        <v>146</v>
      </c>
      <c r="K9" s="3" t="s">
        <v>59</v>
      </c>
      <c r="L9" s="3" t="s">
        <v>142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41.75" hidden="false" customHeight="false" outlineLevel="0" collapsed="false">
      <c r="A10" s="3"/>
      <c r="B10" s="3" t="s">
        <v>147</v>
      </c>
      <c r="C10" s="3" t="s">
        <v>116</v>
      </c>
      <c r="D10" s="3" t="n">
        <v>8231</v>
      </c>
      <c r="E10" s="3"/>
      <c r="F10" s="3"/>
      <c r="G10" s="3"/>
      <c r="H10" s="3"/>
      <c r="I10" s="3"/>
      <c r="J10" s="3" t="s">
        <v>148</v>
      </c>
      <c r="K10" s="3" t="s">
        <v>59</v>
      </c>
      <c r="L10" s="3" t="s">
        <v>142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2" t="s">
        <v>42</v>
      </c>
      <c r="B1" s="2" t="s">
        <v>3</v>
      </c>
      <c r="C1" s="2" t="s">
        <v>43</v>
      </c>
      <c r="D1" s="2" t="s">
        <v>149</v>
      </c>
      <c r="E1" s="2" t="s">
        <v>150</v>
      </c>
      <c r="F1" s="2" t="s">
        <v>30</v>
      </c>
      <c r="G1" s="2" t="s">
        <v>151</v>
      </c>
      <c r="H1" s="2" t="s">
        <v>152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35" hidden="false" customHeight="false" outlineLevel="0" collapsed="false">
      <c r="A2" s="3" t="s">
        <v>153</v>
      </c>
      <c r="B2" s="3" t="s">
        <v>11</v>
      </c>
      <c r="C2" s="3" t="s">
        <v>154</v>
      </c>
      <c r="D2" s="3" t="s">
        <v>155</v>
      </c>
      <c r="E2" s="3" t="s">
        <v>156</v>
      </c>
      <c r="F2" s="3" t="s">
        <v>33</v>
      </c>
      <c r="G2" s="3" t="s">
        <v>157</v>
      </c>
      <c r="H2" s="3" t="s">
        <v>158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3" t="s">
        <v>159</v>
      </c>
      <c r="B3" s="3" t="s">
        <v>9</v>
      </c>
      <c r="C3" s="3" t="s">
        <v>160</v>
      </c>
      <c r="D3" s="3" t="s">
        <v>161</v>
      </c>
      <c r="E3" s="3" t="s">
        <v>162</v>
      </c>
      <c r="F3" s="3" t="s">
        <v>33</v>
      </c>
      <c r="G3" s="3" t="s">
        <v>163</v>
      </c>
      <c r="H3" s="3" t="s">
        <v>164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3" t="s">
        <v>165</v>
      </c>
      <c r="B4" s="3" t="s">
        <v>13</v>
      </c>
      <c r="C4" s="3" t="s">
        <v>166</v>
      </c>
      <c r="D4" s="3" t="s">
        <v>167</v>
      </c>
      <c r="E4" s="3" t="s">
        <v>168</v>
      </c>
      <c r="F4" s="3" t="s">
        <v>33</v>
      </c>
      <c r="G4" s="3" t="s">
        <v>169</v>
      </c>
      <c r="H4" s="3" t="s">
        <v>170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8.35" hidden="false" customHeight="false" outlineLevel="0" collapsed="false">
      <c r="A5" s="3" t="s">
        <v>171</v>
      </c>
      <c r="B5" s="3" t="s">
        <v>15</v>
      </c>
      <c r="C5" s="3" t="s">
        <v>172</v>
      </c>
      <c r="D5" s="3" t="s">
        <v>173</v>
      </c>
      <c r="E5" s="3" t="s">
        <v>174</v>
      </c>
      <c r="F5" s="3" t="s">
        <v>33</v>
      </c>
      <c r="G5" s="3" t="s">
        <v>175</v>
      </c>
      <c r="H5" s="3" t="s">
        <v>176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8.35" hidden="false" customHeight="false" outlineLevel="0" collapsed="false">
      <c r="A6" s="3" t="s">
        <v>177</v>
      </c>
      <c r="B6" s="3" t="s">
        <v>17</v>
      </c>
      <c r="C6" s="3" t="s">
        <v>178</v>
      </c>
      <c r="D6" s="3" t="s">
        <v>179</v>
      </c>
      <c r="E6" s="3" t="s">
        <v>180</v>
      </c>
      <c r="F6" s="3" t="s">
        <v>35</v>
      </c>
      <c r="G6" s="3" t="s">
        <v>181</v>
      </c>
      <c r="H6" s="3" t="s">
        <v>182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8.35" hidden="false" customHeight="false" outlineLevel="0" collapsed="false">
      <c r="A7" s="3" t="s">
        <v>183</v>
      </c>
      <c r="B7" s="3" t="s">
        <v>19</v>
      </c>
      <c r="C7" s="3" t="s">
        <v>184</v>
      </c>
      <c r="D7" s="3" t="s">
        <v>185</v>
      </c>
      <c r="E7" s="3" t="s">
        <v>186</v>
      </c>
      <c r="F7" s="3" t="s">
        <v>35</v>
      </c>
      <c r="G7" s="3" t="s">
        <v>187</v>
      </c>
      <c r="H7" s="3" t="s">
        <v>188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8.35" hidden="false" customHeight="false" outlineLevel="0" collapsed="false">
      <c r="A8" s="3" t="s">
        <v>189</v>
      </c>
      <c r="B8" s="3" t="s">
        <v>21</v>
      </c>
      <c r="C8" s="3" t="s">
        <v>190</v>
      </c>
      <c r="D8" s="3" t="s">
        <v>191</v>
      </c>
      <c r="E8" s="3" t="s">
        <v>192</v>
      </c>
      <c r="F8" s="3" t="s">
        <v>35</v>
      </c>
      <c r="G8" s="3" t="s">
        <v>193</v>
      </c>
      <c r="H8" s="3" t="s">
        <v>194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8.35" hidden="false" customHeight="false" outlineLevel="0" collapsed="false">
      <c r="A9" s="3" t="s">
        <v>195</v>
      </c>
      <c r="B9" s="3" t="s">
        <v>25</v>
      </c>
      <c r="C9" s="3" t="s">
        <v>196</v>
      </c>
      <c r="D9" s="3" t="s">
        <v>197</v>
      </c>
      <c r="E9" s="3" t="s">
        <v>198</v>
      </c>
      <c r="F9" s="3" t="s">
        <v>35</v>
      </c>
      <c r="G9" s="3" t="s">
        <v>199</v>
      </c>
      <c r="H9" s="3" t="s">
        <v>200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5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2" t="s">
        <v>201</v>
      </c>
      <c r="B1" s="2" t="s">
        <v>41</v>
      </c>
      <c r="C1" s="2" t="s">
        <v>3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7</v>
      </c>
      <c r="I1" s="2" t="s">
        <v>206</v>
      </c>
      <c r="J1" s="2" t="s">
        <v>32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41.75" hidden="false" customHeight="false" outlineLevel="0" collapsed="false">
      <c r="A2" s="3" t="s">
        <v>207</v>
      </c>
      <c r="B2" s="3" t="s">
        <v>55</v>
      </c>
      <c r="C2" s="3" t="s">
        <v>9</v>
      </c>
      <c r="D2" s="3" t="s">
        <v>208</v>
      </c>
      <c r="E2" s="6" t="s">
        <v>209</v>
      </c>
      <c r="F2" s="3" t="s">
        <v>210</v>
      </c>
      <c r="G2" s="3" t="s">
        <v>211</v>
      </c>
      <c r="H2" s="3" t="s">
        <v>212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41.75" hidden="false" customHeight="false" outlineLevel="0" collapsed="false">
      <c r="A3" s="3" t="s">
        <v>213</v>
      </c>
      <c r="B3" s="3" t="s">
        <v>61</v>
      </c>
      <c r="C3" s="3" t="s">
        <v>13</v>
      </c>
      <c r="D3" s="3" t="s">
        <v>208</v>
      </c>
      <c r="E3" s="6" t="s">
        <v>214</v>
      </c>
      <c r="F3" s="3" t="s">
        <v>215</v>
      </c>
      <c r="G3" s="3" t="s">
        <v>216</v>
      </c>
      <c r="H3" s="3" t="s">
        <v>212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41.75" hidden="false" customHeight="false" outlineLevel="0" collapsed="false">
      <c r="A4" s="3" t="s">
        <v>217</v>
      </c>
      <c r="B4" s="3" t="s">
        <v>66</v>
      </c>
      <c r="C4" s="3" t="s">
        <v>11</v>
      </c>
      <c r="D4" s="3" t="s">
        <v>208</v>
      </c>
      <c r="E4" s="6" t="s">
        <v>209</v>
      </c>
      <c r="F4" s="3" t="s">
        <v>218</v>
      </c>
      <c r="G4" s="3" t="s">
        <v>219</v>
      </c>
      <c r="H4" s="3" t="s">
        <v>212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/>
      <c r="B10" s="3"/>
      <c r="C10" s="3"/>
      <c r="D10" s="3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dataValidations count="1">
    <dataValidation allowBlank="false" errorStyle="stop" operator="between" showDropDown="false" showErrorMessage="false" showInputMessage="false" sqref="E2:E501" type="list">
      <formula1>Settings!$E$2:$E$5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30"/>
    <col collapsed="false" customWidth="true" hidden="false" outlineLevel="0" max="9" min="9" style="0" width="36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2" t="s">
        <v>220</v>
      </c>
      <c r="B1" s="2" t="s">
        <v>41</v>
      </c>
      <c r="C1" s="2" t="s">
        <v>3</v>
      </c>
      <c r="D1" s="2" t="s">
        <v>221</v>
      </c>
      <c r="E1" s="2" t="s">
        <v>222</v>
      </c>
      <c r="F1" s="2" t="s">
        <v>18</v>
      </c>
      <c r="G1" s="2" t="s">
        <v>20</v>
      </c>
      <c r="H1" s="2" t="s">
        <v>223</v>
      </c>
      <c r="I1" s="2" t="s">
        <v>224</v>
      </c>
      <c r="J1" s="2" t="s">
        <v>201</v>
      </c>
      <c r="K1" s="2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225</v>
      </c>
      <c r="B2" s="3" t="s">
        <v>71</v>
      </c>
      <c r="C2" s="3" t="s">
        <v>40</v>
      </c>
      <c r="D2" s="3" t="n">
        <v>46165.2522001042</v>
      </c>
      <c r="E2" s="6" t="s">
        <v>226</v>
      </c>
      <c r="F2" s="3" t="n">
        <v>0</v>
      </c>
      <c r="G2" s="3" t="n">
        <v>0</v>
      </c>
      <c r="H2" s="3" t="s">
        <v>227</v>
      </c>
      <c r="I2" s="3" t="s">
        <v>228</v>
      </c>
      <c r="J2" s="3"/>
      <c r="K2" s="3" t="s">
        <v>229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3" t="s">
        <v>230</v>
      </c>
      <c r="B3" s="3" t="s">
        <v>231</v>
      </c>
      <c r="C3" s="3" t="s">
        <v>40</v>
      </c>
      <c r="D3" s="3" t="n">
        <v>46170.2522001042</v>
      </c>
      <c r="E3" s="6" t="s">
        <v>226</v>
      </c>
      <c r="F3" s="3" t="n">
        <v>0</v>
      </c>
      <c r="G3" s="3" t="n">
        <v>0</v>
      </c>
      <c r="H3" s="3" t="s">
        <v>232</v>
      </c>
      <c r="I3" s="3" t="s">
        <v>233</v>
      </c>
      <c r="J3" s="3"/>
      <c r="K3" s="3" t="s">
        <v>234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3" t="s">
        <v>235</v>
      </c>
      <c r="B4" s="3" t="s">
        <v>236</v>
      </c>
      <c r="C4" s="3" t="s">
        <v>40</v>
      </c>
      <c r="D4" s="3" t="n">
        <v>46172.2522001042</v>
      </c>
      <c r="E4" s="6" t="s">
        <v>226</v>
      </c>
      <c r="F4" s="3" t="n">
        <v>0</v>
      </c>
      <c r="G4" s="3" t="n">
        <v>0</v>
      </c>
      <c r="H4" s="3" t="s">
        <v>236</v>
      </c>
      <c r="I4" s="3" t="s">
        <v>237</v>
      </c>
      <c r="J4" s="3"/>
      <c r="K4" s="3" t="s">
        <v>238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/>
      <c r="B10" s="3"/>
      <c r="C10" s="3"/>
      <c r="D10" s="3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dataValidations count="1">
    <dataValidation allowBlank="false" errorStyle="stop" operator="between" showDropDown="false" showErrorMessage="false" showInputMessage="false" sqref="E2:E501" type="list">
      <formula1>Settings!$D$2:$D$5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25"/>
    <col collapsed="false" customWidth="true" hidden="false" outlineLevel="0" max="2" min="2" style="0" width="20.88"/>
    <col collapsed="false" customWidth="true" hidden="false" outlineLevel="0" max="3" min="3" style="0" width="19.25"/>
    <col collapsed="false" customWidth="true" hidden="false" outlineLevel="0" max="4" min="4" style="0" width="34.13"/>
    <col collapsed="false" customWidth="true" hidden="false" outlineLevel="0" max="5" min="5" style="0" width="14.25"/>
    <col collapsed="false" customWidth="true" hidden="false" outlineLevel="0" max="6" min="6" style="0" width="22"/>
    <col collapsed="false" customWidth="true" hidden="false" outlineLevel="0" max="7" min="7" style="0" width="19.63"/>
  </cols>
  <sheetData>
    <row r="1" customFormat="false" ht="28.35" hidden="false" customHeight="false" outlineLevel="0" collapsed="false">
      <c r="A1" s="2" t="s">
        <v>106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35" hidden="false" customHeight="false" outlineLevel="0" collapsed="false">
      <c r="A2" s="3" t="s">
        <v>115</v>
      </c>
      <c r="B2" s="3" t="s">
        <v>55</v>
      </c>
      <c r="C2" s="3" t="s">
        <v>244</v>
      </c>
      <c r="D2" s="3" t="s">
        <v>245</v>
      </c>
      <c r="E2" s="3" t="n">
        <v>9</v>
      </c>
      <c r="F2" s="3" t="s">
        <v>246</v>
      </c>
      <c r="G2" s="3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3" t="s">
        <v>126</v>
      </c>
      <c r="B3" s="3" t="s">
        <v>61</v>
      </c>
      <c r="C3" s="3" t="s">
        <v>247</v>
      </c>
      <c r="D3" s="3" t="s">
        <v>248</v>
      </c>
      <c r="E3" s="3" t="n">
        <v>9</v>
      </c>
      <c r="F3" s="3" t="s">
        <v>249</v>
      </c>
      <c r="G3" s="3" t="s">
        <v>59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8.35" hidden="false" customHeight="false" outlineLevel="0" collapsed="false">
      <c r="A4" s="3" t="s">
        <v>131</v>
      </c>
      <c r="B4" s="3" t="s">
        <v>66</v>
      </c>
      <c r="C4" s="3" t="s">
        <v>250</v>
      </c>
      <c r="D4" s="3" t="s">
        <v>251</v>
      </c>
      <c r="E4" s="3" t="n">
        <v>8</v>
      </c>
      <c r="F4" s="3" t="s">
        <v>252</v>
      </c>
      <c r="G4" s="3" t="s">
        <v>59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8.35" hidden="false" customHeight="false" outlineLevel="0" collapsed="false">
      <c r="A5" s="3" t="s">
        <v>253</v>
      </c>
      <c r="B5" s="3" t="s">
        <v>77</v>
      </c>
      <c r="C5" s="3" t="s">
        <v>254</v>
      </c>
      <c r="D5" s="3" t="s">
        <v>255</v>
      </c>
      <c r="E5" s="3" t="n">
        <v>8</v>
      </c>
      <c r="F5" s="3" t="s">
        <v>256</v>
      </c>
      <c r="G5" s="3" t="s">
        <v>59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8.35" hidden="false" customHeight="false" outlineLevel="0" collapsed="false">
      <c r="A6" s="3" t="s">
        <v>121</v>
      </c>
      <c r="B6" s="3" t="s">
        <v>71</v>
      </c>
      <c r="C6" s="3" t="s">
        <v>257</v>
      </c>
      <c r="D6" s="3" t="s">
        <v>258</v>
      </c>
      <c r="E6" s="3" t="n">
        <v>5</v>
      </c>
      <c r="F6" s="3" t="s">
        <v>259</v>
      </c>
      <c r="G6" s="3" t="s">
        <v>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8.35" hidden="false" customHeight="false" outlineLevel="0" collapsed="false">
      <c r="A7" s="3" t="s">
        <v>260</v>
      </c>
      <c r="B7" s="3" t="s">
        <v>261</v>
      </c>
      <c r="C7" s="3" t="s">
        <v>262</v>
      </c>
      <c r="D7" s="3" t="s">
        <v>263</v>
      </c>
      <c r="E7" s="3" t="n">
        <v>8</v>
      </c>
      <c r="F7" s="3" t="s">
        <v>264</v>
      </c>
      <c r="G7" s="3" t="s">
        <v>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8.35" hidden="false" customHeight="false" outlineLevel="0" collapsed="false">
      <c r="A8" s="3" t="s">
        <v>140</v>
      </c>
      <c r="B8" s="3" t="s">
        <v>86</v>
      </c>
      <c r="C8" s="3" t="s">
        <v>265</v>
      </c>
      <c r="D8" s="3" t="s">
        <v>266</v>
      </c>
      <c r="E8" s="3" t="n">
        <v>6</v>
      </c>
      <c r="F8" s="3" t="s">
        <v>267</v>
      </c>
      <c r="G8" s="3" t="s">
        <v>59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8.35" hidden="false" customHeight="false" outlineLevel="0" collapsed="false">
      <c r="A9" s="3" t="s">
        <v>143</v>
      </c>
      <c r="B9" s="3" t="s">
        <v>91</v>
      </c>
      <c r="C9" s="3" t="s">
        <v>268</v>
      </c>
      <c r="D9" s="3" t="s">
        <v>269</v>
      </c>
      <c r="E9" s="3" t="n">
        <v>7</v>
      </c>
      <c r="F9" s="3" t="s">
        <v>270</v>
      </c>
      <c r="G9" s="3" t="s">
        <v>59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8.35" hidden="false" customHeight="false" outlineLevel="0" collapsed="false">
      <c r="A10" s="3" t="s">
        <v>145</v>
      </c>
      <c r="B10" s="3" t="s">
        <v>96</v>
      </c>
      <c r="C10" s="3" t="s">
        <v>271</v>
      </c>
      <c r="D10" s="3" t="s">
        <v>272</v>
      </c>
      <c r="E10" s="3" t="n">
        <v>8</v>
      </c>
      <c r="F10" s="3" t="s">
        <v>273</v>
      </c>
      <c r="G10" s="3" t="s">
        <v>59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41.75" hidden="false" customHeight="false" outlineLevel="0" collapsed="false">
      <c r="A11" s="3" t="s">
        <v>147</v>
      </c>
      <c r="B11" s="3" t="s">
        <v>101</v>
      </c>
      <c r="C11" s="3" t="s">
        <v>274</v>
      </c>
      <c r="D11" s="3" t="s">
        <v>275</v>
      </c>
      <c r="E11" s="3" t="n">
        <v>7</v>
      </c>
      <c r="F11" s="3" t="s">
        <v>276</v>
      </c>
      <c r="G11" s="3" t="s">
        <v>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20.25"/>
    <col collapsed="false" customWidth="true" hidden="false" outlineLevel="0" max="3" min="3" style="0" width="14.51"/>
    <col collapsed="false" customWidth="true" hidden="false" outlineLevel="0" max="4" min="4" style="0" width="6.88"/>
    <col collapsed="false" customWidth="true" hidden="false" outlineLevel="0" max="5" min="5" style="0" width="12.5"/>
    <col collapsed="false" customWidth="true" hidden="false" outlineLevel="0" max="6" min="6" style="0" width="9.51"/>
    <col collapsed="false" customWidth="true" hidden="false" outlineLevel="0" max="7" min="7" style="0" width="29.25"/>
    <col collapsed="false" customWidth="true" hidden="false" outlineLevel="0" max="8" min="8" style="0" width="19.63"/>
    <col collapsed="false" customWidth="true" hidden="false" outlineLevel="0" max="9" min="9" style="0" width="5"/>
  </cols>
  <sheetData>
    <row r="1" customFormat="false" ht="28.35" hidden="false" customHeight="false" outlineLevel="0" collapsed="false">
      <c r="A1" s="2" t="s">
        <v>277</v>
      </c>
      <c r="B1" s="2" t="s">
        <v>106</v>
      </c>
      <c r="C1" s="2" t="s">
        <v>3</v>
      </c>
      <c r="D1" s="2" t="s">
        <v>30</v>
      </c>
      <c r="E1" s="2" t="s">
        <v>278</v>
      </c>
      <c r="F1" s="2" t="s">
        <v>279</v>
      </c>
      <c r="G1" s="2" t="s">
        <v>280</v>
      </c>
      <c r="H1" s="2" t="s">
        <v>54</v>
      </c>
      <c r="I1" s="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35" hidden="false" customHeight="false" outlineLevel="0" collapsed="false">
      <c r="A2" s="3" t="s">
        <v>281</v>
      </c>
      <c r="B2" s="3" t="s">
        <v>282</v>
      </c>
      <c r="C2" s="3" t="s">
        <v>9</v>
      </c>
      <c r="D2" s="6" t="s">
        <v>33</v>
      </c>
      <c r="E2" s="3" t="s">
        <v>283</v>
      </c>
      <c r="F2" s="3" t="s">
        <v>284</v>
      </c>
      <c r="G2" s="3" t="s">
        <v>285</v>
      </c>
      <c r="H2" s="3" t="s">
        <v>59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3" t="s">
        <v>286</v>
      </c>
      <c r="B3" s="3" t="s">
        <v>287</v>
      </c>
      <c r="C3" s="3" t="s">
        <v>13</v>
      </c>
      <c r="D3" s="6" t="s">
        <v>33</v>
      </c>
      <c r="E3" s="3" t="s">
        <v>283</v>
      </c>
      <c r="F3" s="3" t="s">
        <v>284</v>
      </c>
      <c r="G3" s="3" t="s">
        <v>288</v>
      </c>
      <c r="H3" s="3" t="s">
        <v>59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8.35" hidden="false" customHeight="false" outlineLevel="0" collapsed="false">
      <c r="A4" s="3" t="s">
        <v>289</v>
      </c>
      <c r="B4" s="3" t="s">
        <v>290</v>
      </c>
      <c r="C4" s="3" t="s">
        <v>11</v>
      </c>
      <c r="D4" s="6" t="s">
        <v>33</v>
      </c>
      <c r="E4" s="3" t="s">
        <v>283</v>
      </c>
      <c r="F4" s="3" t="s">
        <v>284</v>
      </c>
      <c r="G4" s="3" t="s">
        <v>291</v>
      </c>
      <c r="H4" s="3" t="s">
        <v>59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8.35" hidden="false" customHeight="false" outlineLevel="0" collapsed="false">
      <c r="A5" s="3" t="s">
        <v>292</v>
      </c>
      <c r="B5" s="3" t="s">
        <v>253</v>
      </c>
      <c r="C5" s="3" t="s">
        <v>15</v>
      </c>
      <c r="D5" s="6" t="s">
        <v>33</v>
      </c>
      <c r="E5" s="3" t="s">
        <v>283</v>
      </c>
      <c r="F5" s="3" t="s">
        <v>284</v>
      </c>
      <c r="G5" s="3" t="s">
        <v>293</v>
      </c>
      <c r="H5" s="3" t="s">
        <v>59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16.4" hidden="false" customHeight="false" outlineLevel="0" collapsed="false">
      <c r="A6" s="3" t="s">
        <v>294</v>
      </c>
      <c r="B6" s="3" t="s">
        <v>295</v>
      </c>
      <c r="C6" s="3" t="s">
        <v>17</v>
      </c>
      <c r="D6" s="6" t="s">
        <v>35</v>
      </c>
      <c r="E6" s="3" t="s">
        <v>296</v>
      </c>
      <c r="F6" s="3" t="s">
        <v>284</v>
      </c>
      <c r="G6" s="3" t="s">
        <v>297</v>
      </c>
      <c r="H6" s="3" t="s">
        <v>59</v>
      </c>
      <c r="I6" s="3" t="s">
        <v>298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43.25" hidden="false" customHeight="false" outlineLevel="0" collapsed="false">
      <c r="A7" s="3" t="s">
        <v>299</v>
      </c>
      <c r="B7" s="3" t="s">
        <v>140</v>
      </c>
      <c r="C7" s="3" t="s">
        <v>19</v>
      </c>
      <c r="D7" s="6" t="s">
        <v>35</v>
      </c>
      <c r="E7" s="3" t="s">
        <v>296</v>
      </c>
      <c r="F7" s="3" t="s">
        <v>284</v>
      </c>
      <c r="G7" s="3" t="s">
        <v>300</v>
      </c>
      <c r="H7" s="3" t="s">
        <v>59</v>
      </c>
      <c r="I7" s="3" t="s">
        <v>301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16.4" hidden="false" customHeight="false" outlineLevel="0" collapsed="false">
      <c r="A8" s="3" t="s">
        <v>302</v>
      </c>
      <c r="B8" s="3" t="s">
        <v>143</v>
      </c>
      <c r="C8" s="3" t="s">
        <v>21</v>
      </c>
      <c r="D8" s="6" t="s">
        <v>35</v>
      </c>
      <c r="E8" s="3" t="s">
        <v>296</v>
      </c>
      <c r="F8" s="3" t="s">
        <v>284</v>
      </c>
      <c r="G8" s="3" t="s">
        <v>300</v>
      </c>
      <c r="H8" s="3" t="s">
        <v>59</v>
      </c>
      <c r="I8" s="3" t="s">
        <v>298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83.55" hidden="false" customHeight="false" outlineLevel="0" collapsed="false">
      <c r="A9" s="3" t="s">
        <v>303</v>
      </c>
      <c r="B9" s="3" t="s">
        <v>145</v>
      </c>
      <c r="C9" s="3" t="s">
        <v>25</v>
      </c>
      <c r="D9" s="6" t="s">
        <v>35</v>
      </c>
      <c r="E9" s="3" t="s">
        <v>296</v>
      </c>
      <c r="F9" s="3" t="s">
        <v>284</v>
      </c>
      <c r="G9" s="3" t="s">
        <v>300</v>
      </c>
      <c r="H9" s="3" t="s">
        <v>59</v>
      </c>
      <c r="I9" s="3" t="s">
        <v>304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16.4" hidden="false" customHeight="false" outlineLevel="0" collapsed="false">
      <c r="A10" s="3" t="s">
        <v>305</v>
      </c>
      <c r="B10" s="3" t="s">
        <v>147</v>
      </c>
      <c r="C10" s="3" t="s">
        <v>36</v>
      </c>
      <c r="D10" s="6" t="s">
        <v>35</v>
      </c>
      <c r="E10" s="3" t="s">
        <v>296</v>
      </c>
      <c r="F10" s="3" t="s">
        <v>284</v>
      </c>
      <c r="G10" s="3" t="s">
        <v>300</v>
      </c>
      <c r="H10" s="3" t="s">
        <v>59</v>
      </c>
      <c r="I10" s="3" t="s">
        <v>306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404.45" hidden="false" customHeight="false" outlineLevel="0" collapsed="false">
      <c r="A11" s="3" t="s">
        <v>307</v>
      </c>
      <c r="B11" s="3" t="s">
        <v>308</v>
      </c>
      <c r="C11" s="3" t="s">
        <v>23</v>
      </c>
      <c r="D11" s="6" t="s">
        <v>35</v>
      </c>
      <c r="E11" s="3" t="s">
        <v>283</v>
      </c>
      <c r="F11" s="3" t="s">
        <v>284</v>
      </c>
      <c r="G11" s="3" t="s">
        <v>309</v>
      </c>
      <c r="H11" s="3" t="s">
        <v>59</v>
      </c>
      <c r="I11" s="3" t="s">
        <v>310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29.85" hidden="false" customHeight="false" outlineLevel="0" collapsed="false">
      <c r="A12" s="3" t="s">
        <v>311</v>
      </c>
      <c r="B12" s="3" t="s">
        <v>312</v>
      </c>
      <c r="C12" s="3" t="s">
        <v>26</v>
      </c>
      <c r="D12" s="6" t="s">
        <v>35</v>
      </c>
      <c r="E12" s="3" t="s">
        <v>283</v>
      </c>
      <c r="F12" s="3" t="s">
        <v>284</v>
      </c>
      <c r="G12" s="3" t="s">
        <v>313</v>
      </c>
      <c r="H12" s="3" t="s">
        <v>59</v>
      </c>
      <c r="I12" s="3" t="s">
        <v>314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444.75" hidden="false" customHeight="false" outlineLevel="0" collapsed="false">
      <c r="A13" s="3" t="s">
        <v>315</v>
      </c>
      <c r="B13" s="3" t="s">
        <v>316</v>
      </c>
      <c r="C13" s="3" t="s">
        <v>37</v>
      </c>
      <c r="D13" s="6" t="s">
        <v>35</v>
      </c>
      <c r="E13" s="3" t="s">
        <v>283</v>
      </c>
      <c r="F13" s="3" t="s">
        <v>284</v>
      </c>
      <c r="G13" s="3" t="s">
        <v>317</v>
      </c>
      <c r="H13" s="3" t="s">
        <v>59</v>
      </c>
      <c r="I13" s="3" t="s">
        <v>318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337.3" hidden="false" customHeight="false" outlineLevel="0" collapsed="false">
      <c r="A14" s="3" t="s">
        <v>319</v>
      </c>
      <c r="B14" s="3" t="s">
        <v>320</v>
      </c>
      <c r="C14" s="3" t="s">
        <v>38</v>
      </c>
      <c r="D14" s="6" t="s">
        <v>35</v>
      </c>
      <c r="E14" s="3" t="s">
        <v>283</v>
      </c>
      <c r="F14" s="3" t="s">
        <v>284</v>
      </c>
      <c r="G14" s="3" t="s">
        <v>321</v>
      </c>
      <c r="H14" s="3" t="s">
        <v>59</v>
      </c>
      <c r="I14" s="3" t="s">
        <v>322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310.4" hidden="false" customHeight="false" outlineLevel="0" collapsed="false">
      <c r="A15" s="3" t="s">
        <v>323</v>
      </c>
      <c r="B15" s="3" t="s">
        <v>324</v>
      </c>
      <c r="C15" s="3" t="s">
        <v>39</v>
      </c>
      <c r="D15" s="6" t="s">
        <v>35</v>
      </c>
      <c r="E15" s="3" t="s">
        <v>283</v>
      </c>
      <c r="F15" s="3" t="s">
        <v>284</v>
      </c>
      <c r="G15" s="3" t="s">
        <v>321</v>
      </c>
      <c r="H15" s="3" t="s">
        <v>59</v>
      </c>
      <c r="I15" s="3" t="s">
        <v>325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9.25" hidden="false" customHeight="false" outlineLevel="0" collapsed="false">
      <c r="A16" s="3" t="s">
        <v>326</v>
      </c>
      <c r="B16" s="3" t="s">
        <v>327</v>
      </c>
      <c r="C16" s="3" t="s">
        <v>40</v>
      </c>
      <c r="D16" s="6" t="s">
        <v>35</v>
      </c>
      <c r="E16" s="3" t="s">
        <v>283</v>
      </c>
      <c r="F16" s="3" t="s">
        <v>284</v>
      </c>
      <c r="G16" s="3" t="s">
        <v>328</v>
      </c>
      <c r="H16" s="3" t="s">
        <v>59</v>
      </c>
      <c r="I16" s="3" t="s">
        <v>329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dataValidations count="1">
    <dataValidation allowBlank="false" errorStyle="stop" operator="between" showDropDown="false" showErrorMessage="false" showInputMessage="false" sqref="D2:D501" type="list">
      <formula1>Settings!$B$2:$B$6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14.51"/>
    <col collapsed="false" customWidth="true" hidden="false" outlineLevel="0" max="3" min="3" style="0" width="18.75"/>
    <col collapsed="false" customWidth="true" hidden="false" outlineLevel="0" max="4" min="4" style="0" width="16.89"/>
    <col collapsed="false" customWidth="true" hidden="false" outlineLevel="0" max="5" min="5" style="0" width="11.63"/>
    <col collapsed="false" customWidth="true" hidden="false" outlineLevel="0" max="6" min="6" style="0" width="44.88"/>
    <col collapsed="false" customWidth="true" hidden="false" outlineLevel="0" max="7" min="7" style="0" width="7.25"/>
  </cols>
  <sheetData>
    <row r="1" customFormat="false" ht="28.35" hidden="false" customHeight="false" outlineLevel="0" collapsed="false">
      <c r="A1" s="2" t="s">
        <v>330</v>
      </c>
      <c r="B1" s="2" t="s">
        <v>3</v>
      </c>
      <c r="C1" s="2" t="s">
        <v>331</v>
      </c>
      <c r="D1" s="2" t="s">
        <v>332</v>
      </c>
      <c r="E1" s="2" t="s">
        <v>333</v>
      </c>
      <c r="F1" s="2" t="s">
        <v>334</v>
      </c>
      <c r="G1" s="2" t="s">
        <v>335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35" hidden="false" customHeight="false" outlineLevel="0" collapsed="false">
      <c r="A2" s="3" t="s">
        <v>336</v>
      </c>
      <c r="B2" s="3" t="s">
        <v>13</v>
      </c>
      <c r="C2" s="3" t="s">
        <v>337</v>
      </c>
      <c r="D2" s="3" t="n">
        <v>8</v>
      </c>
      <c r="E2" s="3" t="s">
        <v>338</v>
      </c>
      <c r="F2" s="3" t="s">
        <v>339</v>
      </c>
      <c r="G2" s="3" t="s">
        <v>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3" t="s">
        <v>340</v>
      </c>
      <c r="B3" s="3" t="s">
        <v>9</v>
      </c>
      <c r="C3" s="3" t="s">
        <v>341</v>
      </c>
      <c r="D3" s="3" t="n">
        <v>8</v>
      </c>
      <c r="E3" s="3" t="s">
        <v>338</v>
      </c>
      <c r="F3" s="3" t="s">
        <v>342</v>
      </c>
      <c r="G3" s="3" t="s">
        <v>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8.35" hidden="false" customHeight="false" outlineLevel="0" collapsed="false">
      <c r="A4" s="3" t="s">
        <v>343</v>
      </c>
      <c r="B4" s="3" t="s">
        <v>11</v>
      </c>
      <c r="C4" s="3" t="s">
        <v>344</v>
      </c>
      <c r="D4" s="3" t="n">
        <v>8</v>
      </c>
      <c r="E4" s="3" t="s">
        <v>35</v>
      </c>
      <c r="F4" s="3" t="s">
        <v>345</v>
      </c>
      <c r="G4" s="3" t="s">
        <v>346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8.35" hidden="false" customHeight="false" outlineLevel="0" collapsed="false">
      <c r="A5" s="3" t="s">
        <v>347</v>
      </c>
      <c r="B5" s="3" t="s">
        <v>19</v>
      </c>
      <c r="C5" s="3" t="s">
        <v>348</v>
      </c>
      <c r="D5" s="3" t="n">
        <v>7</v>
      </c>
      <c r="E5" s="3" t="s">
        <v>33</v>
      </c>
      <c r="F5" s="3" t="s">
        <v>349</v>
      </c>
      <c r="G5" s="3" t="s">
        <v>350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8.35" hidden="false" customHeight="false" outlineLevel="0" collapsed="false">
      <c r="A6" s="3" t="s">
        <v>351</v>
      </c>
      <c r="B6" s="3" t="s">
        <v>15</v>
      </c>
      <c r="C6" s="3" t="s">
        <v>256</v>
      </c>
      <c r="D6" s="3" t="n">
        <v>7</v>
      </c>
      <c r="E6" s="3" t="s">
        <v>338</v>
      </c>
      <c r="F6" s="3" t="s">
        <v>352</v>
      </c>
      <c r="G6" s="3" t="s">
        <v>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6.88"/>
    <col collapsed="false" customWidth="true" hidden="false" outlineLevel="0" max="3" min="3" style="0" width="14.51"/>
    <col collapsed="false" customWidth="true" hidden="false" outlineLevel="0" max="4" min="4" style="0" width="7.75"/>
    <col collapsed="false" customWidth="true" hidden="false" outlineLevel="0" max="5" min="5" style="0" width="10.13"/>
  </cols>
  <sheetData>
    <row r="1" customFormat="false" ht="28.35" hidden="false" customHeight="false" outlineLevel="0" collapsed="false">
      <c r="A1" s="2" t="s">
        <v>7</v>
      </c>
      <c r="B1" s="2" t="s">
        <v>30</v>
      </c>
      <c r="C1" s="2" t="s">
        <v>3</v>
      </c>
      <c r="D1" s="2" t="s">
        <v>222</v>
      </c>
      <c r="E1" s="2" t="s">
        <v>203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35" hidden="false" customHeight="false" outlineLevel="0" collapsed="false">
      <c r="A2" s="3" t="s">
        <v>353</v>
      </c>
      <c r="B2" s="3" t="s">
        <v>33</v>
      </c>
      <c r="C2" s="3" t="s">
        <v>9</v>
      </c>
      <c r="D2" s="3" t="s">
        <v>354</v>
      </c>
      <c r="E2" s="3" t="s">
        <v>209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3" t="s">
        <v>34</v>
      </c>
      <c r="B3" s="3" t="s">
        <v>35</v>
      </c>
      <c r="C3" s="3" t="s">
        <v>11</v>
      </c>
      <c r="D3" s="3" t="s">
        <v>226</v>
      </c>
      <c r="E3" s="3" t="s">
        <v>214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8.35" hidden="false" customHeight="false" outlineLevel="0" collapsed="false">
      <c r="A4" s="3" t="s">
        <v>355</v>
      </c>
      <c r="B4" s="3" t="s">
        <v>338</v>
      </c>
      <c r="C4" s="3" t="s">
        <v>13</v>
      </c>
      <c r="D4" s="3" t="s">
        <v>356</v>
      </c>
      <c r="E4" s="3" t="s">
        <v>357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8.35" hidden="false" customHeight="false" outlineLevel="0" collapsed="false">
      <c r="A5" s="3" t="s">
        <v>358</v>
      </c>
      <c r="B5" s="3" t="s">
        <v>346</v>
      </c>
      <c r="C5" s="3" t="s">
        <v>15</v>
      </c>
      <c r="D5" s="3" t="s">
        <v>359</v>
      </c>
      <c r="E5" s="3" t="s">
        <v>360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3" t="s">
        <v>361</v>
      </c>
      <c r="B6" s="3" t="s">
        <v>74</v>
      </c>
      <c r="C6" s="3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3" t="s">
        <v>362</v>
      </c>
      <c r="B7" s="3"/>
      <c r="C7" s="3" t="s">
        <v>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3" t="s">
        <v>74</v>
      </c>
      <c r="B8" s="3"/>
      <c r="C8" s="3" t="s">
        <v>21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3"/>
      <c r="B9" s="3"/>
      <c r="C9" s="3" t="s">
        <v>23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/>
      <c r="B10" s="3"/>
      <c r="C10" s="3" t="s">
        <v>25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 t="s">
        <v>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 t="s">
        <v>37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28.35" hidden="false" customHeight="false" outlineLevel="0" collapsed="false">
      <c r="A14" s="3"/>
      <c r="B14" s="3"/>
      <c r="C14" s="3" t="s">
        <v>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8.35" hidden="false" customHeight="false" outlineLevel="0" collapsed="false">
      <c r="A15" s="3"/>
      <c r="B15" s="3"/>
      <c r="C15" s="3" t="s">
        <v>39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 t="s">
        <v>40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86.75"/>
  </cols>
  <sheetData>
    <row r="1" customFormat="false" ht="28.35" hidden="false" customHeight="false" outlineLevel="0" collapsed="false">
      <c r="A1" s="2" t="s">
        <v>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3" t="s">
        <v>364</v>
      </c>
      <c r="B3" s="3" t="s">
        <v>365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3" t="s">
        <v>366</v>
      </c>
      <c r="B4" s="3" t="s">
        <v>367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3" t="s">
        <v>368</v>
      </c>
      <c r="B5" s="3" t="s">
        <v>369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8.35" hidden="false" customHeight="false" outlineLevel="0" collapsed="false">
      <c r="A6" s="3" t="s">
        <v>52</v>
      </c>
      <c r="B6" s="3" t="s">
        <v>370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3" t="s">
        <v>371</v>
      </c>
      <c r="B7" s="3" t="s">
        <v>372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3" t="s">
        <v>373</v>
      </c>
      <c r="B8" s="3" t="s">
        <v>374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3" t="s">
        <v>375</v>
      </c>
      <c r="B9" s="3" t="s">
        <v>376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 t="s">
        <v>377</v>
      </c>
      <c r="B10" s="3" t="s">
        <v>378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 t="s">
        <v>379</v>
      </c>
      <c r="B11" s="3" t="s">
        <v>380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 t="s">
        <v>381</v>
      </c>
      <c r="B12" s="3" t="s">
        <v>382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2026-06-18T03:49:51Z</dcterms:created>
  <dc:creator>openpyxl</dc:creator>
  <dc:description/>
  <dc:language>en-US</dc:language>
  <cp:lastModifiedBy/>
  <dcterms:modified xsi:type="dcterms:W3CDTF">2026-06-18T03:51:23Z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